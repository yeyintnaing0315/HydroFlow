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9120" tabRatio="322"/>
  </bookViews>
  <sheets>
    <sheet name="11-2024" sheetId="24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4" l="1"/>
  <c r="H23" i="24"/>
  <c r="I23" i="24"/>
  <c r="J23" i="24"/>
  <c r="K23" i="24"/>
  <c r="L23" i="24"/>
  <c r="Q23" i="24"/>
  <c r="U23" i="24"/>
  <c r="AA23" i="24"/>
  <c r="AC23" i="24"/>
  <c r="AD23" i="24"/>
  <c r="AF23" i="24"/>
  <c r="AI23" i="24"/>
  <c r="E23" i="24"/>
  <c r="AH22" i="24" l="1"/>
  <c r="AJ22" i="24" s="1"/>
  <c r="AH21" i="24"/>
  <c r="AJ21" i="24" s="1"/>
  <c r="M20" i="24" l="1"/>
  <c r="M19" i="24"/>
  <c r="M18" i="24"/>
  <c r="M17" i="24"/>
  <c r="M16" i="24"/>
  <c r="M15" i="24"/>
  <c r="M14" i="24"/>
  <c r="M13" i="24"/>
  <c r="M12" i="24"/>
  <c r="M11" i="24"/>
  <c r="M10" i="24"/>
  <c r="M9" i="24"/>
  <c r="M6" i="24"/>
  <c r="M5" i="24"/>
  <c r="M22" i="24"/>
  <c r="M7" i="24" l="1"/>
  <c r="M8" i="24"/>
  <c r="M23" i="24" l="1"/>
  <c r="AH20" i="24" l="1"/>
  <c r="AJ20" i="24" s="1"/>
  <c r="AH19" i="24"/>
  <c r="AJ19" i="24" s="1"/>
  <c r="AH18" i="24"/>
  <c r="AJ18" i="24" s="1"/>
  <c r="AH17" i="24"/>
  <c r="AJ17" i="24" s="1"/>
  <c r="AH16" i="24"/>
  <c r="AJ16" i="24" s="1"/>
  <c r="AH15" i="24"/>
  <c r="AJ15" i="24" s="1"/>
  <c r="AH14" i="24"/>
  <c r="AJ14" i="24" s="1"/>
  <c r="AH13" i="24"/>
  <c r="AJ13" i="24" s="1"/>
  <c r="AH12" i="24"/>
  <c r="AJ12" i="24" s="1"/>
  <c r="AH11" i="24"/>
  <c r="AJ11" i="24" s="1"/>
  <c r="AH10" i="24"/>
  <c r="AJ10" i="24" s="1"/>
  <c r="AH9" i="24"/>
  <c r="AH7" i="24"/>
  <c r="AJ7" i="24" s="1"/>
  <c r="AH6" i="24"/>
  <c r="AJ6" i="24" s="1"/>
  <c r="AJ9" i="24" l="1"/>
  <c r="AH5" i="24" l="1"/>
  <c r="AH23" i="24" s="1"/>
  <c r="AJ5" i="24" l="1"/>
  <c r="AJ23" i="24" s="1"/>
</calcChain>
</file>

<file path=xl/sharedStrings.xml><?xml version="1.0" encoding="utf-8"?>
<sst xmlns="http://schemas.openxmlformats.org/spreadsheetml/2006/main" count="121" uniqueCount="73">
  <si>
    <t>စဉ်</t>
  </si>
  <si>
    <t>မြို့နယ်/ရပ်ကွက်/ ကျေးရွာ</t>
  </si>
  <si>
    <t>ဘေး</t>
  </si>
  <si>
    <t xml:space="preserve">​ဘေးဖြစ်နေ့ </t>
  </si>
  <si>
    <t>အိမ်ခြေ</t>
  </si>
  <si>
    <t>ဘေးသင့်လူဦးရေ</t>
  </si>
  <si>
    <t>ဘာသာရေးကျောင်း</t>
  </si>
  <si>
    <t>သေဆုံး</t>
  </si>
  <si>
    <t>ဒဏ်ရာရ</t>
  </si>
  <si>
    <t>ဆုံးရှုံးမှု 
တန််ဖိုး
 (ကျပ် 
သန်း)</t>
  </si>
  <si>
    <t>ထောက်ပံ့နေ့</t>
  </si>
  <si>
    <t>​ရန်ပုံငွေထောက်ပံ့မှု(ကျပ်)</t>
  </si>
  <si>
    <t>ကဆရ ပစ္စည်း 
တန်ဖိုး
(ကျပ်)</t>
  </si>
  <si>
    <t>စုစုပေါင်း
(ကျပ်)</t>
  </si>
  <si>
    <t>လုံး၀ ပျက်စီး</t>
  </si>
  <si>
    <t>တစ်စိတ်တစ်ပိုင်း ပျက်စီး</t>
  </si>
  <si>
    <t>ပြောင်း
ရွှေ့</t>
  </si>
  <si>
    <t>၁၈နှစ်အထက်</t>
  </si>
  <si>
    <t>၁၈နှစ်အောက်</t>
  </si>
  <si>
    <t>ပေါင်း</t>
  </si>
  <si>
    <t>လုံး၀
ပျက်
စီး</t>
  </si>
  <si>
    <t>‌ဆန်ရိက္ခာ</t>
  </si>
  <si>
    <t>အိမ်ဆောက် ပစ္စည်း</t>
  </si>
  <si>
    <t>ကျောင်း
ဆောက်
ပစ္စည်း</t>
  </si>
  <si>
    <t xml:space="preserve">​သေဆုံး </t>
  </si>
  <si>
    <t>ရန်ပုံငွေ
စုစုပေါင်း</t>
  </si>
  <si>
    <t>ကျား</t>
  </si>
  <si>
    <t>မ</t>
  </si>
  <si>
    <t>ဒဏ်
ရာ
ရ</t>
  </si>
  <si>
    <t>၁၈နှစ်
အထက်</t>
  </si>
  <si>
    <t>၁၈နှစ်
အောက်</t>
  </si>
  <si>
    <t>အိမ် ထောင်စု</t>
  </si>
  <si>
    <t>ရေ
ဘေး</t>
  </si>
  <si>
    <t>၂-၆-၂၀၂၅</t>
  </si>
  <si>
    <t>၄-၆-၂၀၂၅</t>
  </si>
  <si>
    <t>တစ်
စိတ်
တစ်
ပိုင်း 
ပျက်
စီး</t>
  </si>
  <si>
    <t>၁၁-၇-၂၀၂၅</t>
  </si>
  <si>
    <t>၂၄-၇-၂၀၂၅</t>
  </si>
  <si>
    <t>၂၆-၇-၂၀၂၅</t>
  </si>
  <si>
    <t>၂၉-၇-၂၀၂၅</t>
  </si>
  <si>
    <t>၄-၈-၂၀၂၅</t>
  </si>
  <si>
    <t>တောင်ငူခရိုင်၊ 
ရေတာရှည်မြို့နယ်၊
ဂုံမင်းကွင်းအုပ်စု၊ 
ကျေးရွာ(၄)ရွာ</t>
  </si>
  <si>
    <t>၁၃-၇-၂၀၂၅</t>
  </si>
  <si>
    <t>တောင်ငူခရိုင်၊
တောင်ငူမြို့နယ်၊
ဒိုးသောင်ကျေးရွာအုပ်စု၊
ပေါင်းလောင်းတိန်
အထက်ကျေးရွာ</t>
  </si>
  <si>
    <t>၂၈-၇-၂၀၂၅</t>
  </si>
  <si>
    <t>တောင်ငူခရိုင်၊
တောင်ငူမြို့နယ်၊
ဒိုးသောင်ကျေးရွာအုပ်စု၊
ရှမ်းဝါးတီးကျေးရွာ</t>
  </si>
  <si>
    <t>၃၀-၇-၂၀၂၅</t>
  </si>
  <si>
    <t>တောင်ငူခရိုင်၊
တောင်ငူမြို့နယ်၊
ရပ်ကွက် (၇)ရပ်ကွက်၊
အုပ်စု (၁၀)အုပ်စု</t>
  </si>
  <si>
    <t>၃၀-၇-၂၀၂၅
၃၁-၇-၂၀၂၅</t>
  </si>
  <si>
    <t>တောင်ငူခှရိုင်၊
အုတ်တွင်းမြို့နယ်၊
အုပ်စု (၅)အုပ်စု၊
ကျေးရွာ (၅)ရွာ</t>
  </si>
  <si>
    <t>၂၈-၇-၂၀၂၈</t>
  </si>
  <si>
    <t>၃၁-၇-၂၀၂၅</t>
  </si>
  <si>
    <t>ညောင်လေးပင်ခရိုင်၊
မဒေါက်မြို့၊ ရပ်ကွက်
(၂)ရပ်ကွက်၊ ကျေးရွာ
(၄)ရွာ</t>
  </si>
  <si>
    <t>၃၁-၇-၂၀၂၅
၁-၈-၂၀၂၅</t>
  </si>
  <si>
    <t>ညောင်လေးပင်ခရိုင်၊
ရွှေကျင်မြို့နယ်၊
ရပ်ကွက် (၄)ရပ်ကွက်၊
အုပ်စု (၁)အုပ်စု</t>
  </si>
  <si>
    <t>ညောင်လေးပင်ခရိုင်၊
ရွှေကျင်မြို့နယ်၊
ရပ်ကွက် (၃)ရပ်ကွက်၊
အုပ်စု (၁)အုပ်စု</t>
  </si>
  <si>
    <t>တောင်ငူမြို့နယ်၊ 
ရပ်ကွက် (၇)ရပ်ကွက်၊ 
အုပ်စု (၁၀)အုပ်စု</t>
  </si>
  <si>
    <t>၁-၈-၂၀၂၅</t>
  </si>
  <si>
    <t>ဒိုက်ဦးမြို့နယ်၊
သုံးခွကျေးရွာ
အုပ်စု၊သုံးခွကျေးရွာ</t>
  </si>
  <si>
    <t>၂၇-၇-၂၀၂၅</t>
  </si>
  <si>
    <t>တောင်ငူခရိုင်၊ 
အုတ်တွင်းမြို့နယ်၊
အုပ်စု (၂)အုပ်စု၊
ကျေးရွာ (၂)ရွာ</t>
  </si>
  <si>
    <t>ရွှေကျင်မြို့နယ်၊
ရပ်ကွက် (၅)ရပ်ကွက်၊
အုပ်စု (၁)အုပ်စု</t>
  </si>
  <si>
    <t>ညောင်လေးပင်ခရိုင်၊
ရွှေကျင်မြို့နယ်၊
တရုတ္တန်း+ညောင်ဝင်း
ရပ်ကွက်</t>
  </si>
  <si>
    <t>ပြည်ခရိုင်၊ ပန်းတောင်းမြို့နယ်
ဖရုံကားကျေးရွာ
အုပ်စု၊ မသုန်ကျေးရွာ</t>
  </si>
  <si>
    <t>ညောင်လေးပင်ခရိုင်၊ 
မဒေါက်မြို့၊ ရပ်ကွက်(၂)
ရပ်ကွက်၊ ကျေးရွာ (၄)ရွာ</t>
  </si>
  <si>
    <t>တောင်ငူမြို့နယ်၊ အမှတ် (၂၁)ရပ်ကွက်</t>
  </si>
  <si>
    <t>၁-၁၀-၂၀၂၅</t>
  </si>
  <si>
    <t>၂-၁၀-၂၀၂၅</t>
  </si>
  <si>
    <t>ပြည်မြို့နယ်၊ လွှစင်ကျေးရွာအုပ်စု၊ လယ်ဘဲ့ကျေးရွာ</t>
  </si>
  <si>
    <t>၃-၁၀-၂၀၂၅</t>
  </si>
  <si>
    <t xml:space="preserve">ဘေးအန္တရာယ်ဆိုင်ရာစီမံခန့်ခွဲမှုဦးစီးဌာန၊ ပဲခူးတိုင်းဒေသကြီးဦးစီးမှူးရုံး၊ ခရိုင်ဦးစီးမှူးရုံးများနှင့် မြို့နယ်ဦးစီးမှူးရုံးများမှ  ဘေးဖြစ်ပွားမှုများအတွက် ထောက်ပံ့မှုစာရင်း (၄/၂၀၂၅)လမှ (၃/၂၀၂၆)လအထိ (၁)နှစ်ချုပ် </t>
  </si>
  <si>
    <t>တောင်ငူခရိုင်၊
ထန်းတပင်မြို့နယ်၊
ရပ်ကွက် (၃)ရပ်ကွက်၊
အုပ်စု (၄)အုပ်စု</t>
  </si>
  <si>
    <t>ပဲခူးတိုင်းချုပ်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</si>
</sst>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-10000455]0"/>
    <numFmt numFmtId="165" formatCode="[$-10000455]0.00"/>
    <numFmt numFmtId="166" formatCode="[$-10000455]0.000"/>
    <numFmt numFmtId="167" formatCode="[$-10000000]mm/dd/yyyy"/>
    <numFmt numFmtId="168" formatCode="[$-10000455]0.##"/>
  </numFmts>
  <fonts count="12">
    <font>
      <sz val="11"/>
      <color theme="1"/>
      <name val="Calibri"/>
      <charset val="134"/>
      <scheme val="minor"/>
    </font>
    <font>
      <b/>
      <sz val="10"/>
      <color theme="1"/>
      <name val="Pyidaungsu"/>
      <family val="2"/>
    </font>
    <font>
      <b/>
      <sz val="6"/>
      <color theme="1"/>
      <name val="Pyidaungsu"/>
      <family val="2"/>
    </font>
    <font>
      <b/>
      <sz val="8"/>
      <color theme="1"/>
      <name val="Pyidaungsu"/>
      <family val="2"/>
    </font>
    <font>
      <sz val="6"/>
      <color theme="1"/>
      <name val="Pyidaungsu"/>
      <family val="2"/>
    </font>
    <font>
      <b/>
      <sz val="12"/>
      <color theme="1"/>
      <name val="Pyidaungsu"/>
      <family val="2"/>
    </font>
    <font>
      <b/>
      <sz val="7"/>
      <color theme="1"/>
      <name val="Pyidaungsu"/>
      <family val="2"/>
    </font>
    <font>
      <sz val="12"/>
      <color theme="1"/>
      <name val="Pyidaungsu"/>
      <family val="2"/>
    </font>
    <font>
      <sz val="12"/>
      <color theme="1"/>
      <name val="Pyidaungsu"/>
      <family val="2"/>
    </font>
    <font>
      <b/>
      <sz val="7"/>
      <color theme="1"/>
      <name val="Pyidaungsu"/>
      <family val="2"/>
    </font>
    <font>
      <sz val="7"/>
      <color theme="1"/>
      <name val="Pyidaungsu"/>
      <family val="2"/>
    </font>
    <font>
      <sz val="7"/>
      <name val="Pyidaungsu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vertical="center" wrapText="1"/>
    </xf>
    <xf numFmtId="164" fontId="3" fillId="0" borderId="0" xfId="0" applyNumberFormat="1" applyFont="1" applyBorder="1" applyAlignment="1">
      <alignment horizontal="center" vertical="center" wrapText="1"/>
    </xf>
    <xf numFmtId="164" fontId="10" fillId="0" borderId="7" xfId="0" applyNumberFormat="1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164" fontId="10" fillId="0" borderId="7" xfId="0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67" fontId="10" fillId="0" borderId="7" xfId="0" quotePrefix="1" applyNumberFormat="1" applyFont="1" applyBorder="1" applyAlignment="1">
      <alignment horizontal="center" vertical="center" wrapText="1"/>
    </xf>
    <xf numFmtId="164" fontId="10" fillId="0" borderId="7" xfId="0" quotePrefix="1" applyNumberFormat="1" applyFont="1" applyBorder="1" applyAlignment="1">
      <alignment horizontal="center" vertical="center" wrapText="1"/>
    </xf>
    <xf numFmtId="164" fontId="10" fillId="2" borderId="8" xfId="0" applyNumberFormat="1" applyFont="1" applyFill="1" applyBorder="1" applyAlignment="1">
      <alignment horizontal="center" vertical="center" wrapText="1"/>
    </xf>
    <xf numFmtId="167" fontId="10" fillId="0" borderId="8" xfId="0" quotePrefix="1" applyNumberFormat="1" applyFont="1" applyBorder="1" applyAlignment="1">
      <alignment horizontal="center" vertical="center" wrapText="1"/>
    </xf>
    <xf numFmtId="164" fontId="10" fillId="0" borderId="8" xfId="0" applyNumberFormat="1" applyFont="1" applyBorder="1" applyAlignment="1">
      <alignment horizontal="left" vertical="center" wrapText="1"/>
    </xf>
    <xf numFmtId="49" fontId="10" fillId="0" borderId="7" xfId="0" applyNumberFormat="1" applyFont="1" applyBorder="1" applyAlignment="1">
      <alignment horizontal="center" vertical="center" wrapText="1"/>
    </xf>
    <xf numFmtId="164" fontId="9" fillId="0" borderId="8" xfId="0" applyNumberFormat="1" applyFont="1" applyBorder="1" applyAlignment="1">
      <alignment horizontal="center" vertical="center" wrapText="1"/>
    </xf>
    <xf numFmtId="0" fontId="10" fillId="0" borderId="7" xfId="0" quotePrefix="1" applyFont="1" applyBorder="1" applyAlignment="1">
      <alignment horizontal="center" vertical="center" wrapText="1"/>
    </xf>
    <xf numFmtId="164" fontId="10" fillId="2" borderId="7" xfId="0" applyNumberFormat="1" applyFont="1" applyFill="1" applyBorder="1" applyAlignment="1">
      <alignment horizontal="left" vertical="center" wrapText="1"/>
    </xf>
    <xf numFmtId="164" fontId="10" fillId="2" borderId="7" xfId="0" applyNumberFormat="1" applyFont="1" applyFill="1" applyBorder="1" applyAlignment="1">
      <alignment horizontal="center" vertical="center" wrapText="1"/>
    </xf>
    <xf numFmtId="164" fontId="10" fillId="2" borderId="7" xfId="0" quotePrefix="1" applyNumberFormat="1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164" fontId="11" fillId="0" borderId="8" xfId="0" applyNumberFormat="1" applyFont="1" applyFill="1" applyBorder="1" applyAlignment="1">
      <alignment horizontal="center" vertical="center" wrapText="1"/>
    </xf>
    <xf numFmtId="164" fontId="10" fillId="0" borderId="8" xfId="0" applyNumberFormat="1" applyFont="1" applyFill="1" applyBorder="1" applyAlignment="1">
      <alignment horizontal="center" vertical="center" wrapText="1"/>
    </xf>
    <xf numFmtId="167" fontId="10" fillId="2" borderId="7" xfId="0" quotePrefix="1" applyNumberFormat="1" applyFont="1" applyFill="1" applyBorder="1" applyAlignment="1">
      <alignment horizontal="center" vertical="center" wrapText="1"/>
    </xf>
    <xf numFmtId="0" fontId="10" fillId="0" borderId="7" xfId="0" applyFont="1" applyFill="1" applyBorder="1" applyAlignment="1">
      <alignment horizontal="center" vertical="center" wrapText="1"/>
    </xf>
    <xf numFmtId="164" fontId="10" fillId="0" borderId="7" xfId="0" applyNumberFormat="1" applyFont="1" applyFill="1" applyBorder="1" applyAlignment="1">
      <alignment horizontal="center" vertical="center" wrapText="1"/>
    </xf>
    <xf numFmtId="164" fontId="9" fillId="0" borderId="8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165" fontId="10" fillId="0" borderId="8" xfId="0" applyNumberFormat="1" applyFont="1" applyFill="1" applyBorder="1" applyAlignment="1">
      <alignment horizontal="center" vertical="center" wrapText="1"/>
    </xf>
    <xf numFmtId="165" fontId="10" fillId="0" borderId="7" xfId="0" applyNumberFormat="1" applyFont="1" applyFill="1" applyBorder="1" applyAlignment="1">
      <alignment horizontal="center" vertical="center" wrapText="1"/>
    </xf>
    <xf numFmtId="168" fontId="10" fillId="0" borderId="7" xfId="0" applyNumberFormat="1" applyFont="1" applyFill="1" applyBorder="1" applyAlignment="1">
      <alignment horizontal="center" vertical="center" wrapText="1"/>
    </xf>
    <xf numFmtId="165" fontId="9" fillId="0" borderId="8" xfId="0" applyNumberFormat="1" applyFont="1" applyFill="1" applyBorder="1" applyAlignment="1">
      <alignment horizontal="center" vertical="center" wrapText="1"/>
    </xf>
    <xf numFmtId="0" fontId="7" fillId="0" borderId="0" xfId="0" applyFont="1" applyFill="1" applyAlignment="1">
      <alignment vertical="center" wrapText="1"/>
    </xf>
    <xf numFmtId="164" fontId="3" fillId="0" borderId="0" xfId="0" applyNumberFormat="1" applyFont="1" applyFill="1" applyBorder="1" applyAlignment="1">
      <alignment horizontal="center" vertical="center" wrapText="1"/>
    </xf>
    <xf numFmtId="164" fontId="6" fillId="0" borderId="8" xfId="0" applyNumberFormat="1" applyFont="1" applyFill="1" applyBorder="1" applyAlignment="1">
      <alignment horizontal="center" vertical="center" wrapText="1"/>
    </xf>
    <xf numFmtId="49" fontId="9" fillId="0" borderId="7" xfId="0" applyNumberFormat="1" applyFont="1" applyFill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164" fontId="6" fillId="0" borderId="2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9"/>
  <sheetViews>
    <sheetView tabSelected="1" topLeftCell="A7" zoomScaleNormal="100" workbookViewId="0">
      <selection activeCell="V8" sqref="V8"/>
    </sheetView>
  </sheetViews>
  <sheetFormatPr defaultColWidth="9.140625" defaultRowHeight="29.25" customHeight="1"/>
  <cols>
    <col min="1" max="1" width="3.28515625" style="4" customWidth="1"/>
    <col min="2" max="2" width="14" style="4" customWidth="1"/>
    <col min="3" max="3" width="4.28515625" style="34" customWidth="1"/>
    <col min="4" max="4" width="7.85546875" style="4" customWidth="1"/>
    <col min="5" max="5" width="4.42578125" style="4" customWidth="1"/>
    <col min="6" max="6" width="5.140625" style="4" customWidth="1"/>
    <col min="7" max="7" width="4.140625" style="4" customWidth="1"/>
    <col min="8" max="8" width="5.5703125" style="4" customWidth="1"/>
    <col min="9" max="9" width="6.140625" style="4" customWidth="1"/>
    <col min="10" max="10" width="4.85546875" style="4" customWidth="1"/>
    <col min="11" max="11" width="5" style="4" customWidth="1"/>
    <col min="12" max="12" width="4.5703125" style="4" customWidth="1"/>
    <col min="13" max="13" width="5.28515625" style="34" customWidth="1"/>
    <col min="14" max="14" width="3.5703125" style="4" customWidth="1"/>
    <col min="15" max="15" width="4.42578125" style="4" customWidth="1"/>
    <col min="16" max="16" width="4.28515625" style="4" customWidth="1"/>
    <col min="17" max="17" width="3.5703125" style="4" customWidth="1"/>
    <col min="18" max="18" width="3.7109375" style="4" customWidth="1"/>
    <col min="19" max="19" width="3.5703125" style="4" customWidth="1"/>
    <col min="20" max="20" width="2" style="4" customWidth="1"/>
    <col min="21" max="21" width="3.85546875" style="4" customWidth="1"/>
    <col min="22" max="22" width="4.140625" style="4" customWidth="1"/>
    <col min="23" max="23" width="4.28515625" style="4" customWidth="1"/>
    <col min="24" max="24" width="3.85546875" style="4" customWidth="1"/>
    <col min="25" max="25" width="2.28515625" style="4" customWidth="1"/>
    <col min="26" max="26" width="4.140625" style="4" customWidth="1"/>
    <col min="27" max="27" width="7.7109375" style="34" customWidth="1"/>
    <col min="28" max="28" width="8.7109375" style="5" customWidth="1"/>
    <col min="29" max="29" width="10" style="4" customWidth="1"/>
    <col min="30" max="30" width="9.85546875" style="4" customWidth="1"/>
    <col min="31" max="31" width="9.5703125" style="4" customWidth="1"/>
    <col min="32" max="32" width="9" style="4" customWidth="1"/>
    <col min="33" max="33" width="8.140625" style="4" customWidth="1"/>
    <col min="34" max="34" width="9.140625" style="4" customWidth="1"/>
    <col min="35" max="35" width="8.5703125" style="4" customWidth="1"/>
    <col min="36" max="36" width="12" style="4" customWidth="1"/>
    <col min="37" max="16384" width="9.140625" style="4"/>
  </cols>
  <sheetData>
    <row r="1" spans="1:36" s="1" customFormat="1" ht="45" customHeight="1">
      <c r="A1" s="47" t="s">
        <v>70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7"/>
      <c r="AE1" s="47"/>
      <c r="AF1" s="47"/>
      <c r="AG1" s="47"/>
      <c r="AH1" s="47"/>
      <c r="AI1" s="47"/>
      <c r="AJ1" s="47"/>
    </row>
    <row r="2" spans="1:36" s="1" customFormat="1" ht="22.5" customHeight="1">
      <c r="A2" s="54" t="s">
        <v>0</v>
      </c>
      <c r="B2" s="54" t="s">
        <v>1</v>
      </c>
      <c r="C2" s="59" t="s">
        <v>2</v>
      </c>
      <c r="D2" s="54" t="s">
        <v>3</v>
      </c>
      <c r="E2" s="48" t="s">
        <v>4</v>
      </c>
      <c r="F2" s="49"/>
      <c r="G2" s="50"/>
      <c r="H2" s="63" t="s">
        <v>31</v>
      </c>
      <c r="I2" s="51" t="s">
        <v>5</v>
      </c>
      <c r="J2" s="52"/>
      <c r="K2" s="52"/>
      <c r="L2" s="52"/>
      <c r="M2" s="53"/>
      <c r="N2" s="51" t="s">
        <v>6</v>
      </c>
      <c r="O2" s="52"/>
      <c r="P2" s="53"/>
      <c r="Q2" s="51" t="s">
        <v>7</v>
      </c>
      <c r="R2" s="52"/>
      <c r="S2" s="52"/>
      <c r="T2" s="52"/>
      <c r="U2" s="53"/>
      <c r="V2" s="51" t="s">
        <v>8</v>
      </c>
      <c r="W2" s="52"/>
      <c r="X2" s="52"/>
      <c r="Y2" s="53"/>
      <c r="Z2" s="9"/>
      <c r="AA2" s="59" t="s">
        <v>9</v>
      </c>
      <c r="AB2" s="57" t="s">
        <v>10</v>
      </c>
      <c r="AC2" s="48" t="s">
        <v>11</v>
      </c>
      <c r="AD2" s="49"/>
      <c r="AE2" s="49"/>
      <c r="AF2" s="49"/>
      <c r="AG2" s="49"/>
      <c r="AH2" s="50"/>
      <c r="AI2" s="57" t="s">
        <v>12</v>
      </c>
      <c r="AJ2" s="57" t="s">
        <v>13</v>
      </c>
    </row>
    <row r="3" spans="1:36" s="2" customFormat="1" ht="29.25" customHeight="1">
      <c r="A3" s="55"/>
      <c r="B3" s="55"/>
      <c r="C3" s="60"/>
      <c r="D3" s="55"/>
      <c r="E3" s="54" t="s">
        <v>14</v>
      </c>
      <c r="F3" s="54" t="s">
        <v>15</v>
      </c>
      <c r="G3" s="54" t="s">
        <v>16</v>
      </c>
      <c r="H3" s="62"/>
      <c r="I3" s="51" t="s">
        <v>17</v>
      </c>
      <c r="J3" s="53"/>
      <c r="K3" s="51" t="s">
        <v>18</v>
      </c>
      <c r="L3" s="53"/>
      <c r="M3" s="59" t="s">
        <v>19</v>
      </c>
      <c r="N3" s="54" t="s">
        <v>20</v>
      </c>
      <c r="O3" s="54" t="s">
        <v>35</v>
      </c>
      <c r="P3" s="57" t="s">
        <v>16</v>
      </c>
      <c r="Q3" s="51" t="s">
        <v>29</v>
      </c>
      <c r="R3" s="53"/>
      <c r="S3" s="51" t="s">
        <v>30</v>
      </c>
      <c r="T3" s="53"/>
      <c r="U3" s="57" t="s">
        <v>19</v>
      </c>
      <c r="V3" s="51" t="s">
        <v>29</v>
      </c>
      <c r="W3" s="53"/>
      <c r="X3" s="51" t="s">
        <v>30</v>
      </c>
      <c r="Y3" s="53"/>
      <c r="Z3" s="57" t="s">
        <v>19</v>
      </c>
      <c r="AA3" s="60"/>
      <c r="AB3" s="62"/>
      <c r="AC3" s="57" t="s">
        <v>21</v>
      </c>
      <c r="AD3" s="57" t="s">
        <v>22</v>
      </c>
      <c r="AE3" s="57" t="s">
        <v>23</v>
      </c>
      <c r="AF3" s="57" t="s">
        <v>24</v>
      </c>
      <c r="AG3" s="57" t="s">
        <v>28</v>
      </c>
      <c r="AH3" s="57" t="s">
        <v>25</v>
      </c>
      <c r="AI3" s="62"/>
      <c r="AJ3" s="62"/>
    </row>
    <row r="4" spans="1:36" s="2" customFormat="1" ht="62.25" customHeight="1">
      <c r="A4" s="56"/>
      <c r="B4" s="56"/>
      <c r="C4" s="61"/>
      <c r="D4" s="56"/>
      <c r="E4" s="56"/>
      <c r="F4" s="56"/>
      <c r="G4" s="56"/>
      <c r="H4" s="58"/>
      <c r="I4" s="8" t="s">
        <v>26</v>
      </c>
      <c r="J4" s="8" t="s">
        <v>27</v>
      </c>
      <c r="K4" s="8" t="s">
        <v>26</v>
      </c>
      <c r="L4" s="8" t="s">
        <v>27</v>
      </c>
      <c r="M4" s="61"/>
      <c r="N4" s="56"/>
      <c r="O4" s="56"/>
      <c r="P4" s="58"/>
      <c r="Q4" s="8" t="s">
        <v>26</v>
      </c>
      <c r="R4" s="8" t="s">
        <v>27</v>
      </c>
      <c r="S4" s="8" t="s">
        <v>26</v>
      </c>
      <c r="T4" s="8" t="s">
        <v>27</v>
      </c>
      <c r="U4" s="58"/>
      <c r="V4" s="8" t="s">
        <v>26</v>
      </c>
      <c r="W4" s="8" t="s">
        <v>27</v>
      </c>
      <c r="X4" s="8" t="s">
        <v>26</v>
      </c>
      <c r="Y4" s="8" t="s">
        <v>27</v>
      </c>
      <c r="Z4" s="58"/>
      <c r="AA4" s="61"/>
      <c r="AB4" s="58"/>
      <c r="AC4" s="58"/>
      <c r="AD4" s="58"/>
      <c r="AE4" s="58"/>
      <c r="AF4" s="58"/>
      <c r="AG4" s="58"/>
      <c r="AH4" s="58"/>
      <c r="AI4" s="58"/>
      <c r="AJ4" s="58"/>
    </row>
    <row r="5" spans="1:36" s="3" customFormat="1" ht="55.5" customHeight="1">
      <c r="A5" s="25">
        <v>1</v>
      </c>
      <c r="B5" s="20" t="s">
        <v>63</v>
      </c>
      <c r="C5" s="29" t="s">
        <v>32</v>
      </c>
      <c r="D5" s="21" t="s">
        <v>33</v>
      </c>
      <c r="E5" s="18">
        <v>2</v>
      </c>
      <c r="F5" s="14"/>
      <c r="G5" s="14"/>
      <c r="H5" s="14">
        <v>2</v>
      </c>
      <c r="I5" s="14">
        <v>2</v>
      </c>
      <c r="J5" s="14">
        <v>3</v>
      </c>
      <c r="K5" s="14"/>
      <c r="L5" s="14">
        <v>1</v>
      </c>
      <c r="M5" s="29">
        <f>SUM(I5:L5)</f>
        <v>6</v>
      </c>
      <c r="N5" s="14"/>
      <c r="O5" s="14"/>
      <c r="P5" s="22"/>
      <c r="Q5" s="14"/>
      <c r="R5" s="14"/>
      <c r="S5" s="14"/>
      <c r="T5" s="22"/>
      <c r="U5" s="14"/>
      <c r="V5" s="22"/>
      <c r="W5" s="22"/>
      <c r="X5" s="22"/>
      <c r="Y5" s="22"/>
      <c r="Z5" s="22"/>
      <c r="AA5" s="36">
        <v>0.65</v>
      </c>
      <c r="AB5" s="19" t="s">
        <v>34</v>
      </c>
      <c r="AC5" s="14">
        <v>30000</v>
      </c>
      <c r="AD5" s="14">
        <v>200000</v>
      </c>
      <c r="AE5" s="14"/>
      <c r="AF5" s="18"/>
      <c r="AG5" s="18"/>
      <c r="AH5" s="18">
        <f>SUM(AC5:AG5)</f>
        <v>230000</v>
      </c>
      <c r="AI5" s="18">
        <v>215356</v>
      </c>
      <c r="AJ5" s="18">
        <f t="shared" ref="AJ5" si="0">SUM(AH5:AI5)</f>
        <v>445356</v>
      </c>
    </row>
    <row r="6" spans="1:36" s="3" customFormat="1" ht="60" customHeight="1">
      <c r="A6" s="25">
        <v>2</v>
      </c>
      <c r="B6" s="11" t="s">
        <v>41</v>
      </c>
      <c r="C6" s="31" t="s">
        <v>32</v>
      </c>
      <c r="D6" s="17" t="s">
        <v>36</v>
      </c>
      <c r="E6" s="13">
        <v>32</v>
      </c>
      <c r="F6" s="13"/>
      <c r="G6" s="13"/>
      <c r="H6" s="13">
        <v>34</v>
      </c>
      <c r="I6" s="14">
        <v>33</v>
      </c>
      <c r="J6" s="14">
        <v>33</v>
      </c>
      <c r="K6" s="14">
        <v>27</v>
      </c>
      <c r="L6" s="14">
        <v>32</v>
      </c>
      <c r="M6" s="29">
        <f>SUM(I6:L6)</f>
        <v>125</v>
      </c>
      <c r="N6" s="13"/>
      <c r="O6" s="13"/>
      <c r="P6" s="12"/>
      <c r="Q6" s="15"/>
      <c r="R6" s="15"/>
      <c r="S6" s="15"/>
      <c r="T6" s="15"/>
      <c r="U6" s="12"/>
      <c r="V6" s="15"/>
      <c r="W6" s="15"/>
      <c r="X6" s="15"/>
      <c r="Y6" s="15"/>
      <c r="Z6" s="12"/>
      <c r="AA6" s="31"/>
      <c r="AB6" s="23" t="s">
        <v>42</v>
      </c>
      <c r="AC6" s="13">
        <v>625000</v>
      </c>
      <c r="AD6" s="13">
        <v>3200000</v>
      </c>
      <c r="AE6" s="12"/>
      <c r="AF6" s="12"/>
      <c r="AG6" s="12"/>
      <c r="AH6" s="13">
        <f t="shared" ref="AH6" si="1">SUM(AC6:AG6)</f>
        <v>3825000</v>
      </c>
      <c r="AI6" s="13">
        <v>3445696</v>
      </c>
      <c r="AJ6" s="13">
        <f>SUM(AH6:AI6)</f>
        <v>7270696</v>
      </c>
    </row>
    <row r="7" spans="1:36" s="3" customFormat="1" ht="65.25" customHeight="1">
      <c r="A7" s="25">
        <v>3</v>
      </c>
      <c r="B7" s="11" t="s">
        <v>43</v>
      </c>
      <c r="C7" s="31" t="s">
        <v>32</v>
      </c>
      <c r="D7" s="17" t="s">
        <v>44</v>
      </c>
      <c r="E7" s="13"/>
      <c r="F7" s="13"/>
      <c r="G7" s="13"/>
      <c r="H7" s="13"/>
      <c r="I7" s="14"/>
      <c r="J7" s="14"/>
      <c r="K7" s="14"/>
      <c r="L7" s="14"/>
      <c r="M7" s="29">
        <f t="shared" ref="M7:M8" si="2">SUM(L7)</f>
        <v>0</v>
      </c>
      <c r="N7" s="13"/>
      <c r="O7" s="13"/>
      <c r="P7" s="12"/>
      <c r="Q7" s="14">
        <v>1</v>
      </c>
      <c r="R7" s="15"/>
      <c r="S7" s="15"/>
      <c r="T7" s="15"/>
      <c r="U7" s="13">
        <v>1</v>
      </c>
      <c r="V7" s="15"/>
      <c r="W7" s="15"/>
      <c r="X7" s="15"/>
      <c r="Y7" s="15"/>
      <c r="Z7" s="12"/>
      <c r="AA7" s="31"/>
      <c r="AB7" s="23" t="s">
        <v>39</v>
      </c>
      <c r="AC7" s="13"/>
      <c r="AD7" s="13"/>
      <c r="AE7" s="12"/>
      <c r="AF7" s="13">
        <v>300000</v>
      </c>
      <c r="AG7" s="12"/>
      <c r="AH7" s="13">
        <f>SUM(AF7:AG7)</f>
        <v>300000</v>
      </c>
      <c r="AI7" s="13"/>
      <c r="AJ7" s="13">
        <f>SUM(AH7:AI7)</f>
        <v>300000</v>
      </c>
    </row>
    <row r="8" spans="1:36" s="3" customFormat="1" ht="51.75" customHeight="1">
      <c r="A8" s="25">
        <v>4</v>
      </c>
      <c r="B8" s="11" t="s">
        <v>45</v>
      </c>
      <c r="C8" s="31" t="s">
        <v>32</v>
      </c>
      <c r="D8" s="17" t="s">
        <v>46</v>
      </c>
      <c r="E8" s="13"/>
      <c r="F8" s="13"/>
      <c r="G8" s="13"/>
      <c r="H8" s="13"/>
      <c r="I8" s="14"/>
      <c r="J8" s="14"/>
      <c r="K8" s="14"/>
      <c r="L8" s="14"/>
      <c r="M8" s="29">
        <f t="shared" si="2"/>
        <v>0</v>
      </c>
      <c r="N8" s="13"/>
      <c r="O8" s="13"/>
      <c r="P8" s="12"/>
      <c r="Q8" s="14">
        <v>1</v>
      </c>
      <c r="R8" s="15"/>
      <c r="S8" s="15"/>
      <c r="T8" s="15"/>
      <c r="U8" s="13">
        <v>1</v>
      </c>
      <c r="V8" s="15"/>
      <c r="W8" s="15"/>
      <c r="X8" s="15"/>
      <c r="Y8" s="15"/>
      <c r="Z8" s="12"/>
      <c r="AA8" s="31"/>
      <c r="AB8" s="23"/>
      <c r="AC8" s="13"/>
      <c r="AD8" s="13"/>
      <c r="AE8" s="12"/>
      <c r="AF8" s="13">
        <v>300000</v>
      </c>
      <c r="AG8" s="12"/>
      <c r="AH8" s="13">
        <v>300000</v>
      </c>
      <c r="AI8" s="13"/>
      <c r="AJ8" s="13">
        <v>300000</v>
      </c>
    </row>
    <row r="9" spans="1:36" s="3" customFormat="1" ht="55.5" customHeight="1">
      <c r="A9" s="25">
        <v>5</v>
      </c>
      <c r="B9" s="11" t="s">
        <v>47</v>
      </c>
      <c r="C9" s="31" t="s">
        <v>32</v>
      </c>
      <c r="D9" s="17" t="s">
        <v>44</v>
      </c>
      <c r="E9" s="13"/>
      <c r="F9" s="13"/>
      <c r="G9" s="13"/>
      <c r="H9" s="13">
        <v>2079</v>
      </c>
      <c r="I9" s="28">
        <v>3471</v>
      </c>
      <c r="J9" s="28">
        <v>4281</v>
      </c>
      <c r="K9" s="28"/>
      <c r="L9" s="28"/>
      <c r="M9" s="29">
        <f t="shared" ref="M9:M20" si="3">SUM(I9:L9)</f>
        <v>7752</v>
      </c>
      <c r="N9" s="13"/>
      <c r="O9" s="13"/>
      <c r="P9" s="12"/>
      <c r="Q9" s="14"/>
      <c r="R9" s="15"/>
      <c r="S9" s="15"/>
      <c r="T9" s="15"/>
      <c r="U9" s="13"/>
      <c r="V9" s="15"/>
      <c r="W9" s="15"/>
      <c r="X9" s="15"/>
      <c r="Y9" s="15"/>
      <c r="Z9" s="12"/>
      <c r="AA9" s="31"/>
      <c r="AB9" s="23" t="s">
        <v>48</v>
      </c>
      <c r="AC9" s="13">
        <v>38760000</v>
      </c>
      <c r="AD9" s="13"/>
      <c r="AE9" s="12"/>
      <c r="AF9" s="13"/>
      <c r="AG9" s="12"/>
      <c r="AH9" s="13">
        <f t="shared" ref="AH9:AH20" si="4">SUM(AC9:AG9)</f>
        <v>38760000</v>
      </c>
      <c r="AI9" s="13"/>
      <c r="AJ9" s="13">
        <f t="shared" ref="AJ9:AJ20" si="5">SUM(AH9:AI9)</f>
        <v>38760000</v>
      </c>
    </row>
    <row r="10" spans="1:36" s="3" customFormat="1" ht="59.25" customHeight="1">
      <c r="A10" s="25">
        <v>6</v>
      </c>
      <c r="B10" s="11" t="s">
        <v>49</v>
      </c>
      <c r="C10" s="31" t="s">
        <v>32</v>
      </c>
      <c r="D10" s="17" t="s">
        <v>44</v>
      </c>
      <c r="E10" s="13"/>
      <c r="F10" s="13"/>
      <c r="G10" s="13"/>
      <c r="H10" s="13">
        <v>292</v>
      </c>
      <c r="I10" s="29">
        <v>733</v>
      </c>
      <c r="J10" s="29">
        <v>1023</v>
      </c>
      <c r="K10" s="29"/>
      <c r="L10" s="29"/>
      <c r="M10" s="29">
        <f t="shared" si="3"/>
        <v>1756</v>
      </c>
      <c r="N10" s="13"/>
      <c r="O10" s="13"/>
      <c r="P10" s="12"/>
      <c r="Q10" s="14"/>
      <c r="R10" s="15"/>
      <c r="S10" s="15"/>
      <c r="T10" s="15"/>
      <c r="U10" s="13"/>
      <c r="V10" s="15"/>
      <c r="W10" s="15"/>
      <c r="X10" s="15"/>
      <c r="Y10" s="15"/>
      <c r="Z10" s="12"/>
      <c r="AA10" s="31"/>
      <c r="AB10" s="23" t="s">
        <v>48</v>
      </c>
      <c r="AC10" s="13">
        <v>8780000</v>
      </c>
      <c r="AD10" s="13"/>
      <c r="AE10" s="12"/>
      <c r="AF10" s="13"/>
      <c r="AG10" s="12"/>
      <c r="AH10" s="13">
        <f t="shared" si="4"/>
        <v>8780000</v>
      </c>
      <c r="AI10" s="13"/>
      <c r="AJ10" s="13">
        <f t="shared" si="5"/>
        <v>8780000</v>
      </c>
    </row>
    <row r="11" spans="1:36" s="3" customFormat="1" ht="54.75" customHeight="1">
      <c r="A11" s="25">
        <v>7</v>
      </c>
      <c r="B11" s="11" t="s">
        <v>71</v>
      </c>
      <c r="C11" s="31" t="s">
        <v>32</v>
      </c>
      <c r="D11" s="17" t="s">
        <v>50</v>
      </c>
      <c r="E11" s="13"/>
      <c r="F11" s="13"/>
      <c r="G11" s="13"/>
      <c r="H11" s="13">
        <v>155</v>
      </c>
      <c r="I11" s="29">
        <v>271</v>
      </c>
      <c r="J11" s="29">
        <v>317</v>
      </c>
      <c r="K11" s="29"/>
      <c r="L11" s="29"/>
      <c r="M11" s="29">
        <f t="shared" si="3"/>
        <v>588</v>
      </c>
      <c r="N11" s="13"/>
      <c r="O11" s="13"/>
      <c r="P11" s="12"/>
      <c r="Q11" s="14"/>
      <c r="R11" s="15"/>
      <c r="S11" s="15"/>
      <c r="T11" s="15"/>
      <c r="U11" s="13"/>
      <c r="V11" s="15"/>
      <c r="W11" s="15"/>
      <c r="X11" s="15"/>
      <c r="Y11" s="15"/>
      <c r="Z11" s="12"/>
      <c r="AA11" s="31"/>
      <c r="AB11" s="23" t="s">
        <v>51</v>
      </c>
      <c r="AC11" s="13">
        <v>2940000</v>
      </c>
      <c r="AD11" s="13"/>
      <c r="AE11" s="12"/>
      <c r="AF11" s="13"/>
      <c r="AG11" s="12"/>
      <c r="AH11" s="13">
        <f t="shared" si="4"/>
        <v>2940000</v>
      </c>
      <c r="AI11" s="13"/>
      <c r="AJ11" s="13">
        <f t="shared" si="5"/>
        <v>2940000</v>
      </c>
    </row>
    <row r="12" spans="1:36" s="3" customFormat="1" ht="49.5" customHeight="1">
      <c r="A12" s="25">
        <v>8</v>
      </c>
      <c r="B12" s="11" t="s">
        <v>52</v>
      </c>
      <c r="C12" s="31" t="s">
        <v>32</v>
      </c>
      <c r="D12" s="17" t="s">
        <v>44</v>
      </c>
      <c r="E12" s="13"/>
      <c r="F12" s="13"/>
      <c r="G12" s="13"/>
      <c r="H12" s="13">
        <v>59</v>
      </c>
      <c r="I12" s="29">
        <v>53</v>
      </c>
      <c r="J12" s="29">
        <v>87</v>
      </c>
      <c r="K12" s="29">
        <v>35</v>
      </c>
      <c r="L12" s="29">
        <v>37</v>
      </c>
      <c r="M12" s="29">
        <f t="shared" si="3"/>
        <v>212</v>
      </c>
      <c r="N12" s="13"/>
      <c r="O12" s="13"/>
      <c r="P12" s="12"/>
      <c r="Q12" s="14"/>
      <c r="R12" s="15"/>
      <c r="S12" s="15"/>
      <c r="T12" s="15"/>
      <c r="U12" s="13"/>
      <c r="V12" s="15"/>
      <c r="W12" s="15"/>
      <c r="X12" s="15"/>
      <c r="Y12" s="15"/>
      <c r="Z12" s="12"/>
      <c r="AA12" s="31"/>
      <c r="AB12" s="23" t="s">
        <v>53</v>
      </c>
      <c r="AC12" s="13">
        <v>1060000</v>
      </c>
      <c r="AD12" s="13"/>
      <c r="AE12" s="12"/>
      <c r="AF12" s="13"/>
      <c r="AG12" s="12"/>
      <c r="AH12" s="13">
        <f t="shared" si="4"/>
        <v>1060000</v>
      </c>
      <c r="AI12" s="13"/>
      <c r="AJ12" s="13">
        <f t="shared" si="5"/>
        <v>1060000</v>
      </c>
    </row>
    <row r="13" spans="1:36" s="3" customFormat="1" ht="54" customHeight="1">
      <c r="A13" s="25">
        <v>9</v>
      </c>
      <c r="B13" s="11" t="s">
        <v>62</v>
      </c>
      <c r="C13" s="31" t="s">
        <v>32</v>
      </c>
      <c r="D13" s="17" t="s">
        <v>37</v>
      </c>
      <c r="E13" s="13"/>
      <c r="F13" s="13"/>
      <c r="G13" s="13"/>
      <c r="H13" s="13">
        <v>97</v>
      </c>
      <c r="I13" s="18">
        <v>45</v>
      </c>
      <c r="J13" s="18">
        <v>102</v>
      </c>
      <c r="K13" s="18">
        <v>57</v>
      </c>
      <c r="L13" s="18">
        <v>104</v>
      </c>
      <c r="M13" s="29">
        <f t="shared" si="3"/>
        <v>308</v>
      </c>
      <c r="N13" s="13"/>
      <c r="O13" s="13"/>
      <c r="P13" s="12"/>
      <c r="Q13" s="14"/>
      <c r="R13" s="15"/>
      <c r="S13" s="15"/>
      <c r="T13" s="15"/>
      <c r="U13" s="13"/>
      <c r="V13" s="15"/>
      <c r="W13" s="15"/>
      <c r="X13" s="15"/>
      <c r="Y13" s="15"/>
      <c r="Z13" s="12"/>
      <c r="AA13" s="31"/>
      <c r="AB13" s="23" t="s">
        <v>38</v>
      </c>
      <c r="AC13" s="13">
        <v>1540000</v>
      </c>
      <c r="AD13" s="13"/>
      <c r="AE13" s="12"/>
      <c r="AF13" s="13"/>
      <c r="AG13" s="12"/>
      <c r="AH13" s="13">
        <f t="shared" si="4"/>
        <v>1540000</v>
      </c>
      <c r="AI13" s="13"/>
      <c r="AJ13" s="13">
        <f t="shared" si="5"/>
        <v>1540000</v>
      </c>
    </row>
    <row r="14" spans="1:36" s="3" customFormat="1" ht="53.25" customHeight="1">
      <c r="A14" s="25">
        <v>10</v>
      </c>
      <c r="B14" s="11" t="s">
        <v>54</v>
      </c>
      <c r="C14" s="31" t="s">
        <v>32</v>
      </c>
      <c r="D14" s="17" t="s">
        <v>37</v>
      </c>
      <c r="E14" s="13"/>
      <c r="F14" s="13"/>
      <c r="G14" s="13"/>
      <c r="H14" s="13">
        <v>146</v>
      </c>
      <c r="I14" s="18">
        <v>179</v>
      </c>
      <c r="J14" s="18">
        <v>206</v>
      </c>
      <c r="K14" s="18">
        <v>147</v>
      </c>
      <c r="L14" s="18">
        <v>144</v>
      </c>
      <c r="M14" s="29">
        <f t="shared" si="3"/>
        <v>676</v>
      </c>
      <c r="N14" s="13"/>
      <c r="O14" s="13"/>
      <c r="P14" s="12"/>
      <c r="Q14" s="14"/>
      <c r="R14" s="15"/>
      <c r="S14" s="15"/>
      <c r="T14" s="15"/>
      <c r="U14" s="13"/>
      <c r="V14" s="15"/>
      <c r="W14" s="15"/>
      <c r="X14" s="15"/>
      <c r="Y14" s="15"/>
      <c r="Z14" s="12"/>
      <c r="AA14" s="31"/>
      <c r="AB14" s="23" t="s">
        <v>39</v>
      </c>
      <c r="AC14" s="13">
        <v>3380000</v>
      </c>
      <c r="AD14" s="13"/>
      <c r="AE14" s="12"/>
      <c r="AF14" s="13"/>
      <c r="AG14" s="12"/>
      <c r="AH14" s="13">
        <f t="shared" si="4"/>
        <v>3380000</v>
      </c>
      <c r="AI14" s="13"/>
      <c r="AJ14" s="13">
        <f t="shared" si="5"/>
        <v>3380000</v>
      </c>
    </row>
    <row r="15" spans="1:36" s="3" customFormat="1" ht="50.25" customHeight="1">
      <c r="A15" s="25">
        <v>11</v>
      </c>
      <c r="B15" s="11" t="s">
        <v>55</v>
      </c>
      <c r="C15" s="31" t="s">
        <v>32</v>
      </c>
      <c r="D15" s="17" t="s">
        <v>37</v>
      </c>
      <c r="E15" s="13"/>
      <c r="F15" s="13"/>
      <c r="G15" s="13"/>
      <c r="H15" s="13">
        <v>100</v>
      </c>
      <c r="I15" s="18">
        <v>135</v>
      </c>
      <c r="J15" s="18">
        <v>158</v>
      </c>
      <c r="K15" s="18">
        <v>94</v>
      </c>
      <c r="L15" s="18">
        <v>117</v>
      </c>
      <c r="M15" s="29">
        <f t="shared" si="3"/>
        <v>504</v>
      </c>
      <c r="N15" s="13"/>
      <c r="O15" s="13"/>
      <c r="P15" s="12"/>
      <c r="Q15" s="14"/>
      <c r="R15" s="15"/>
      <c r="S15" s="15"/>
      <c r="T15" s="15"/>
      <c r="U15" s="13"/>
      <c r="V15" s="15"/>
      <c r="W15" s="15"/>
      <c r="X15" s="15"/>
      <c r="Y15" s="15"/>
      <c r="Z15" s="12"/>
      <c r="AA15" s="31"/>
      <c r="AB15" s="23" t="s">
        <v>51</v>
      </c>
      <c r="AC15" s="13">
        <v>2520000</v>
      </c>
      <c r="AD15" s="13"/>
      <c r="AE15" s="12"/>
      <c r="AF15" s="13"/>
      <c r="AG15" s="12"/>
      <c r="AH15" s="13">
        <f t="shared" si="4"/>
        <v>2520000</v>
      </c>
      <c r="AI15" s="13"/>
      <c r="AJ15" s="13">
        <f t="shared" si="5"/>
        <v>2520000</v>
      </c>
    </row>
    <row r="16" spans="1:36" s="3" customFormat="1" ht="48" customHeight="1">
      <c r="A16" s="25">
        <v>12</v>
      </c>
      <c r="B16" s="24" t="s">
        <v>56</v>
      </c>
      <c r="C16" s="32" t="s">
        <v>32</v>
      </c>
      <c r="D16" s="25" t="s">
        <v>44</v>
      </c>
      <c r="E16" s="25"/>
      <c r="F16" s="25"/>
      <c r="G16" s="25"/>
      <c r="H16" s="25">
        <v>819</v>
      </c>
      <c r="I16" s="29">
        <v>1996</v>
      </c>
      <c r="J16" s="29">
        <v>3304</v>
      </c>
      <c r="K16" s="29">
        <v>1322</v>
      </c>
      <c r="L16" s="29">
        <v>1293</v>
      </c>
      <c r="M16" s="29">
        <f t="shared" si="3"/>
        <v>7915</v>
      </c>
      <c r="N16" s="25"/>
      <c r="O16" s="25"/>
      <c r="P16" s="25"/>
      <c r="Q16" s="18"/>
      <c r="R16" s="27"/>
      <c r="S16" s="27"/>
      <c r="T16" s="27"/>
      <c r="U16" s="25"/>
      <c r="V16" s="18"/>
      <c r="W16" s="18"/>
      <c r="X16" s="18"/>
      <c r="Y16" s="27"/>
      <c r="Z16" s="25"/>
      <c r="AA16" s="37"/>
      <c r="AB16" s="30" t="s">
        <v>57</v>
      </c>
      <c r="AC16" s="25">
        <v>39575000</v>
      </c>
      <c r="AD16" s="25"/>
      <c r="AE16" s="25"/>
      <c r="AF16" s="25"/>
      <c r="AG16" s="25"/>
      <c r="AH16" s="25">
        <f t="shared" si="4"/>
        <v>39575000</v>
      </c>
      <c r="AI16" s="25"/>
      <c r="AJ16" s="25">
        <f t="shared" si="5"/>
        <v>39575000</v>
      </c>
    </row>
    <row r="17" spans="1:36" s="3" customFormat="1" ht="50.25" customHeight="1">
      <c r="A17" s="25">
        <v>13</v>
      </c>
      <c r="B17" s="24" t="s">
        <v>64</v>
      </c>
      <c r="C17" s="32" t="s">
        <v>32</v>
      </c>
      <c r="D17" s="25" t="s">
        <v>44</v>
      </c>
      <c r="E17" s="25"/>
      <c r="F17" s="25"/>
      <c r="G17" s="25"/>
      <c r="H17" s="25">
        <v>7</v>
      </c>
      <c r="I17" s="18">
        <v>8</v>
      </c>
      <c r="J17" s="18">
        <v>10</v>
      </c>
      <c r="K17" s="18">
        <v>10</v>
      </c>
      <c r="L17" s="18">
        <v>12</v>
      </c>
      <c r="M17" s="29">
        <f t="shared" si="3"/>
        <v>40</v>
      </c>
      <c r="N17" s="25"/>
      <c r="O17" s="25"/>
      <c r="P17" s="25"/>
      <c r="Q17" s="18"/>
      <c r="R17" s="27"/>
      <c r="S17" s="27"/>
      <c r="T17" s="27"/>
      <c r="U17" s="25"/>
      <c r="V17" s="18"/>
      <c r="W17" s="18"/>
      <c r="X17" s="18"/>
      <c r="Y17" s="27"/>
      <c r="Z17" s="25"/>
      <c r="AA17" s="37"/>
      <c r="AB17" s="30" t="s">
        <v>57</v>
      </c>
      <c r="AC17" s="25">
        <v>200000</v>
      </c>
      <c r="AD17" s="25"/>
      <c r="AE17" s="25"/>
      <c r="AF17" s="25"/>
      <c r="AG17" s="25"/>
      <c r="AH17" s="25">
        <f t="shared" si="4"/>
        <v>200000</v>
      </c>
      <c r="AI17" s="25"/>
      <c r="AJ17" s="25">
        <f t="shared" si="5"/>
        <v>200000</v>
      </c>
    </row>
    <row r="18" spans="1:36" s="3" customFormat="1" ht="40.5" customHeight="1">
      <c r="A18" s="25">
        <v>14</v>
      </c>
      <c r="B18" s="24" t="s">
        <v>58</v>
      </c>
      <c r="C18" s="32" t="s">
        <v>32</v>
      </c>
      <c r="D18" s="26" t="s">
        <v>59</v>
      </c>
      <c r="E18" s="25"/>
      <c r="F18" s="25"/>
      <c r="G18" s="25"/>
      <c r="H18" s="25">
        <v>64</v>
      </c>
      <c r="I18" s="18">
        <v>64</v>
      </c>
      <c r="J18" s="18">
        <v>76</v>
      </c>
      <c r="K18" s="18">
        <v>50</v>
      </c>
      <c r="L18" s="18">
        <v>61</v>
      </c>
      <c r="M18" s="29">
        <f t="shared" si="3"/>
        <v>251</v>
      </c>
      <c r="N18" s="25"/>
      <c r="O18" s="25"/>
      <c r="P18" s="25"/>
      <c r="Q18" s="18"/>
      <c r="R18" s="27"/>
      <c r="S18" s="27"/>
      <c r="T18" s="27"/>
      <c r="U18" s="25"/>
      <c r="V18" s="18"/>
      <c r="W18" s="18"/>
      <c r="X18" s="18"/>
      <c r="Y18" s="27"/>
      <c r="Z18" s="25"/>
      <c r="AA18" s="37"/>
      <c r="AB18" s="30" t="s">
        <v>57</v>
      </c>
      <c r="AC18" s="25">
        <v>1255000</v>
      </c>
      <c r="AD18" s="25"/>
      <c r="AE18" s="25"/>
      <c r="AF18" s="25"/>
      <c r="AG18" s="25"/>
      <c r="AH18" s="25">
        <f t="shared" si="4"/>
        <v>1255000</v>
      </c>
      <c r="AI18" s="25"/>
      <c r="AJ18" s="25">
        <f t="shared" si="5"/>
        <v>1255000</v>
      </c>
    </row>
    <row r="19" spans="1:36" s="3" customFormat="1" ht="57.75" customHeight="1">
      <c r="A19" s="25">
        <v>15</v>
      </c>
      <c r="B19" s="24" t="s">
        <v>60</v>
      </c>
      <c r="C19" s="32" t="s">
        <v>32</v>
      </c>
      <c r="D19" s="26" t="s">
        <v>44</v>
      </c>
      <c r="E19" s="25"/>
      <c r="F19" s="25"/>
      <c r="G19" s="25"/>
      <c r="H19" s="25">
        <v>24</v>
      </c>
      <c r="I19" s="18">
        <v>20</v>
      </c>
      <c r="J19" s="18">
        <v>27</v>
      </c>
      <c r="K19" s="18">
        <v>12</v>
      </c>
      <c r="L19" s="18">
        <v>16</v>
      </c>
      <c r="M19" s="29">
        <f t="shared" si="3"/>
        <v>75</v>
      </c>
      <c r="N19" s="25"/>
      <c r="O19" s="25"/>
      <c r="P19" s="25"/>
      <c r="Q19" s="18"/>
      <c r="R19" s="27"/>
      <c r="S19" s="27"/>
      <c r="T19" s="27"/>
      <c r="U19" s="25"/>
      <c r="V19" s="18"/>
      <c r="W19" s="18"/>
      <c r="X19" s="18"/>
      <c r="Y19" s="27"/>
      <c r="Z19" s="25"/>
      <c r="AA19" s="37"/>
      <c r="AB19" s="30" t="s">
        <v>40</v>
      </c>
      <c r="AC19" s="25">
        <v>375000</v>
      </c>
      <c r="AD19" s="25"/>
      <c r="AE19" s="25"/>
      <c r="AF19" s="25"/>
      <c r="AG19" s="25"/>
      <c r="AH19" s="25">
        <f t="shared" si="4"/>
        <v>375000</v>
      </c>
      <c r="AI19" s="25"/>
      <c r="AJ19" s="25">
        <f t="shared" si="5"/>
        <v>375000</v>
      </c>
    </row>
    <row r="20" spans="1:36" s="3" customFormat="1" ht="47.25" customHeight="1">
      <c r="A20" s="25">
        <v>16</v>
      </c>
      <c r="B20" s="24" t="s">
        <v>61</v>
      </c>
      <c r="C20" s="32" t="s">
        <v>32</v>
      </c>
      <c r="D20" s="26" t="s">
        <v>37</v>
      </c>
      <c r="E20" s="25"/>
      <c r="F20" s="25"/>
      <c r="G20" s="25"/>
      <c r="H20" s="25">
        <v>238</v>
      </c>
      <c r="I20" s="18">
        <v>236</v>
      </c>
      <c r="J20" s="18">
        <v>264</v>
      </c>
      <c r="K20" s="18">
        <v>220</v>
      </c>
      <c r="L20" s="18">
        <v>289</v>
      </c>
      <c r="M20" s="29">
        <f t="shared" si="3"/>
        <v>1009</v>
      </c>
      <c r="N20" s="25"/>
      <c r="O20" s="25"/>
      <c r="P20" s="25"/>
      <c r="Q20" s="18"/>
      <c r="R20" s="27"/>
      <c r="S20" s="27"/>
      <c r="T20" s="27"/>
      <c r="U20" s="25"/>
      <c r="V20" s="18"/>
      <c r="W20" s="18"/>
      <c r="X20" s="18"/>
      <c r="Y20" s="27"/>
      <c r="Z20" s="25"/>
      <c r="AA20" s="37"/>
      <c r="AB20" s="30" t="s">
        <v>40</v>
      </c>
      <c r="AC20" s="25">
        <v>5045000</v>
      </c>
      <c r="AD20" s="25"/>
      <c r="AE20" s="25"/>
      <c r="AF20" s="25"/>
      <c r="AG20" s="25"/>
      <c r="AH20" s="25">
        <f t="shared" si="4"/>
        <v>5045000</v>
      </c>
      <c r="AI20" s="25"/>
      <c r="AJ20" s="25">
        <f t="shared" si="5"/>
        <v>5045000</v>
      </c>
    </row>
    <row r="21" spans="1:36" s="3" customFormat="1" ht="47.25" customHeight="1">
      <c r="A21" s="25">
        <v>17</v>
      </c>
      <c r="B21" s="11" t="s">
        <v>65</v>
      </c>
      <c r="C21" s="31" t="s">
        <v>32</v>
      </c>
      <c r="D21" s="17" t="s">
        <v>66</v>
      </c>
      <c r="E21" s="13"/>
      <c r="F21" s="13">
        <v>1</v>
      </c>
      <c r="G21" s="13"/>
      <c r="H21" s="13">
        <v>1</v>
      </c>
      <c r="I21" s="14"/>
      <c r="J21" s="14">
        <v>1</v>
      </c>
      <c r="K21" s="14"/>
      <c r="L21" s="14">
        <v>1</v>
      </c>
      <c r="M21" s="32">
        <v>2</v>
      </c>
      <c r="N21" s="13"/>
      <c r="O21" s="13"/>
      <c r="P21" s="12"/>
      <c r="Q21" s="15"/>
      <c r="R21" s="15"/>
      <c r="S21" s="15"/>
      <c r="T21" s="15"/>
      <c r="U21" s="12"/>
      <c r="V21" s="15"/>
      <c r="W21" s="15"/>
      <c r="X21" s="15"/>
      <c r="Y21" s="15"/>
      <c r="Z21" s="12"/>
      <c r="AA21" s="32">
        <v>5</v>
      </c>
      <c r="AB21" s="16" t="s">
        <v>67</v>
      </c>
      <c r="AC21" s="13">
        <v>10000</v>
      </c>
      <c r="AD21" s="13">
        <v>50000</v>
      </c>
      <c r="AE21" s="12"/>
      <c r="AF21" s="12"/>
      <c r="AG21" s="12"/>
      <c r="AH21" s="13">
        <f>SUM(AC21:AG21)</f>
        <v>60000</v>
      </c>
      <c r="AI21" s="13"/>
      <c r="AJ21" s="13">
        <f>SUM(AH21:AI21)</f>
        <v>60000</v>
      </c>
    </row>
    <row r="22" spans="1:36" s="3" customFormat="1" ht="42" customHeight="1">
      <c r="A22" s="25">
        <v>18</v>
      </c>
      <c r="B22" s="11" t="s">
        <v>68</v>
      </c>
      <c r="C22" s="31" t="s">
        <v>32</v>
      </c>
      <c r="D22" s="17" t="s">
        <v>67</v>
      </c>
      <c r="E22" s="13"/>
      <c r="F22" s="13"/>
      <c r="G22" s="13"/>
      <c r="H22" s="13">
        <v>22</v>
      </c>
      <c r="I22" s="14">
        <v>22</v>
      </c>
      <c r="J22" s="14">
        <v>26</v>
      </c>
      <c r="K22" s="14">
        <v>13</v>
      </c>
      <c r="L22" s="14">
        <v>11</v>
      </c>
      <c r="M22" s="32">
        <f>SUM(I22:L22)</f>
        <v>72</v>
      </c>
      <c r="N22" s="13"/>
      <c r="O22" s="13"/>
      <c r="P22" s="12"/>
      <c r="Q22" s="15"/>
      <c r="R22" s="15"/>
      <c r="S22" s="15"/>
      <c r="T22" s="15"/>
      <c r="U22" s="12"/>
      <c r="V22" s="15"/>
      <c r="W22" s="15"/>
      <c r="X22" s="15"/>
      <c r="Y22" s="15"/>
      <c r="Z22" s="12"/>
      <c r="AA22" s="38"/>
      <c r="AB22" s="16" t="s">
        <v>69</v>
      </c>
      <c r="AC22" s="13">
        <v>360000</v>
      </c>
      <c r="AD22" s="13"/>
      <c r="AE22" s="12"/>
      <c r="AF22" s="12"/>
      <c r="AG22" s="12"/>
      <c r="AH22" s="13">
        <f>SUM(AC22:AG22)</f>
        <v>360000</v>
      </c>
      <c r="AI22" s="13"/>
      <c r="AJ22" s="13">
        <f>SUM(AH22:AI22)</f>
        <v>360000</v>
      </c>
    </row>
    <row r="23" spans="1:36" s="44" customFormat="1" ht="50.25" customHeight="1">
      <c r="A23" s="32"/>
      <c r="B23" s="42" t="s">
        <v>72</v>
      </c>
      <c r="C23" s="33">
        <v>5</v>
      </c>
      <c r="D23" s="43"/>
      <c r="E23" s="33">
        <f>SUM(E5:E22)</f>
        <v>34</v>
      </c>
      <c r="F23" s="33">
        <f t="shared" ref="F23:AJ23" si="6">SUM(F5:F22)</f>
        <v>1</v>
      </c>
      <c r="G23" s="33"/>
      <c r="H23" s="33">
        <f t="shared" si="6"/>
        <v>4139</v>
      </c>
      <c r="I23" s="33">
        <f t="shared" si="6"/>
        <v>7268</v>
      </c>
      <c r="J23" s="33">
        <f t="shared" si="6"/>
        <v>9918</v>
      </c>
      <c r="K23" s="33">
        <f t="shared" si="6"/>
        <v>1987</v>
      </c>
      <c r="L23" s="33">
        <f t="shared" si="6"/>
        <v>2118</v>
      </c>
      <c r="M23" s="33">
        <f t="shared" si="6"/>
        <v>21291</v>
      </c>
      <c r="N23" s="33"/>
      <c r="O23" s="33"/>
      <c r="P23" s="33"/>
      <c r="Q23" s="33">
        <f t="shared" si="6"/>
        <v>2</v>
      </c>
      <c r="R23" s="33"/>
      <c r="S23" s="33"/>
      <c r="T23" s="33"/>
      <c r="U23" s="33">
        <f t="shared" si="6"/>
        <v>2</v>
      </c>
      <c r="V23" s="33"/>
      <c r="W23" s="33"/>
      <c r="X23" s="33"/>
      <c r="Y23" s="33"/>
      <c r="Z23" s="33"/>
      <c r="AA23" s="39">
        <f t="shared" si="6"/>
        <v>5.65</v>
      </c>
      <c r="AB23" s="33"/>
      <c r="AC23" s="33">
        <f t="shared" si="6"/>
        <v>106455000</v>
      </c>
      <c r="AD23" s="33">
        <f t="shared" si="6"/>
        <v>3450000</v>
      </c>
      <c r="AE23" s="33"/>
      <c r="AF23" s="33">
        <f t="shared" si="6"/>
        <v>600000</v>
      </c>
      <c r="AG23" s="33"/>
      <c r="AH23" s="33">
        <f t="shared" si="6"/>
        <v>110505000</v>
      </c>
      <c r="AI23" s="33">
        <f t="shared" si="6"/>
        <v>3661052</v>
      </c>
      <c r="AJ23" s="33">
        <f t="shared" si="6"/>
        <v>114166052</v>
      </c>
    </row>
    <row r="24" spans="1:36" ht="41.25" customHeight="1">
      <c r="A24" s="6"/>
      <c r="B24" s="6"/>
      <c r="C24" s="46"/>
      <c r="D24" s="46"/>
      <c r="E24" s="46"/>
      <c r="F24" s="46"/>
      <c r="G24" s="7"/>
      <c r="H24" s="7"/>
      <c r="I24" s="7"/>
      <c r="J24" s="7"/>
      <c r="K24" s="7"/>
      <c r="L24" s="7"/>
      <c r="M24" s="35"/>
      <c r="N24" s="6"/>
      <c r="O24" s="6"/>
      <c r="P24" s="6"/>
      <c r="Q24" s="46"/>
      <c r="R24" s="46"/>
      <c r="S24" s="46"/>
      <c r="T24" s="46"/>
      <c r="U24" s="46"/>
      <c r="V24" s="46"/>
      <c r="W24" s="6"/>
      <c r="X24" s="6"/>
      <c r="Y24" s="6"/>
      <c r="Z24" s="6"/>
      <c r="AA24" s="40"/>
      <c r="AB24" s="6"/>
      <c r="AC24" s="6"/>
      <c r="AD24" s="6"/>
      <c r="AE24" s="46"/>
      <c r="AF24" s="46"/>
      <c r="AG24" s="46"/>
      <c r="AH24" s="46"/>
      <c r="AI24" s="6"/>
      <c r="AJ24" s="6"/>
    </row>
    <row r="25" spans="1:36" ht="32.25" customHeight="1">
      <c r="O25" s="6"/>
      <c r="P25" s="6"/>
      <c r="AB25" s="6"/>
      <c r="AC25" s="6"/>
    </row>
    <row r="26" spans="1:36" ht="29.25" customHeight="1">
      <c r="C26" s="46"/>
      <c r="D26" s="46"/>
      <c r="E26" s="46"/>
      <c r="F26" s="46"/>
      <c r="J26" s="46"/>
      <c r="K26" s="46"/>
      <c r="L26" s="46"/>
      <c r="M26" s="46"/>
      <c r="O26" s="6"/>
      <c r="P26" s="6"/>
      <c r="Q26" s="45"/>
      <c r="R26" s="46"/>
      <c r="S26" s="46"/>
      <c r="T26" s="46"/>
      <c r="U26" s="46"/>
      <c r="V26" s="46"/>
      <c r="AC26" s="6"/>
      <c r="AD26" s="6"/>
      <c r="AE26" s="45"/>
      <c r="AF26" s="46"/>
      <c r="AG26" s="46"/>
      <c r="AH26" s="46"/>
    </row>
    <row r="27" spans="1:36" ht="26.25" customHeight="1">
      <c r="C27" s="45"/>
      <c r="D27" s="46"/>
      <c r="E27" s="46"/>
      <c r="F27" s="46"/>
      <c r="J27" s="46"/>
      <c r="K27" s="46"/>
      <c r="L27" s="46"/>
      <c r="M27" s="46"/>
      <c r="O27" s="6"/>
      <c r="P27" s="6"/>
      <c r="Q27" s="46"/>
      <c r="R27" s="46"/>
      <c r="S27" s="46"/>
      <c r="T27" s="46"/>
      <c r="U27" s="46"/>
      <c r="V27" s="46"/>
      <c r="AC27" s="6"/>
      <c r="AD27" s="6"/>
      <c r="AE27" s="46"/>
      <c r="AF27" s="46"/>
      <c r="AG27" s="46"/>
      <c r="AH27" s="46"/>
    </row>
    <row r="29" spans="1:36" ht="29.25" customHeight="1">
      <c r="X29" s="10"/>
      <c r="Y29" s="10"/>
      <c r="Z29" s="10"/>
      <c r="AA29" s="41"/>
      <c r="AB29" s="10"/>
      <c r="AC29" s="10"/>
      <c r="AD29" s="10"/>
      <c r="AE29" s="10"/>
    </row>
  </sheetData>
  <mergeCells count="48">
    <mergeCell ref="AI2:AI4"/>
    <mergeCell ref="AC3:AC4"/>
    <mergeCell ref="AD3:AD4"/>
    <mergeCell ref="AE3:AE4"/>
    <mergeCell ref="AH3:AH4"/>
    <mergeCell ref="K3:L3"/>
    <mergeCell ref="AF3:AF4"/>
    <mergeCell ref="D2:D4"/>
    <mergeCell ref="E3:E4"/>
    <mergeCell ref="F3:F4"/>
    <mergeCell ref="P3:P4"/>
    <mergeCell ref="I3:J3"/>
    <mergeCell ref="G3:G4"/>
    <mergeCell ref="H2:H4"/>
    <mergeCell ref="M3:M4"/>
    <mergeCell ref="N3:N4"/>
    <mergeCell ref="O3:O4"/>
    <mergeCell ref="Q3:R3"/>
    <mergeCell ref="S3:T3"/>
    <mergeCell ref="V3:W3"/>
    <mergeCell ref="U3:U4"/>
    <mergeCell ref="A1:AJ1"/>
    <mergeCell ref="E2:G2"/>
    <mergeCell ref="I2:M2"/>
    <mergeCell ref="N2:P2"/>
    <mergeCell ref="Q2:U2"/>
    <mergeCell ref="V2:Y2"/>
    <mergeCell ref="AC2:AH2"/>
    <mergeCell ref="A2:A4"/>
    <mergeCell ref="B2:B4"/>
    <mergeCell ref="Z3:Z4"/>
    <mergeCell ref="AA2:AA4"/>
    <mergeCell ref="AB2:AB4"/>
    <mergeCell ref="X3:Y3"/>
    <mergeCell ref="AG3:AG4"/>
    <mergeCell ref="AJ2:AJ4"/>
    <mergeCell ref="C2:C4"/>
    <mergeCell ref="C27:F27"/>
    <mergeCell ref="J27:M27"/>
    <mergeCell ref="Q27:V27"/>
    <mergeCell ref="AE27:AH27"/>
    <mergeCell ref="C24:F24"/>
    <mergeCell ref="Q24:V24"/>
    <mergeCell ref="AE24:AH24"/>
    <mergeCell ref="C26:F26"/>
    <mergeCell ref="J26:M26"/>
    <mergeCell ref="Q26:V26"/>
    <mergeCell ref="AE26:AH26"/>
  </mergeCells>
  <pageMargins left="0.2" right="0.2" top="0.143700787" bottom="0.25" header="0.3" footer="0.3"/>
  <pageSetup paperSize="5" scale="80" orientation="landscape" verticalDpi="360" r:id="rId1"/>
  <headerFooter differentFirst="1">
    <oddHeader>&amp;C&amp;P</oddHeader>
    <firstHeader>&amp;C2</first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11-2024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2026-09-16T09:28:50Z</cp:lastPrinted>
  <dcterms:created xsi:type="dcterms:W3CDTF">2017-03-15T04:32:00Z</dcterms:created>
  <dcterms:modified xsi:type="dcterms:W3CDTF">2026-09-16T09:30:45Z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AF78E535284441D08B3B415870E956E2_12</vt:lpwstr>
  </property>
  <property fmtid="{D5CDD505-2E9C-101B-9397-08002B2CF9AE}" pid="3" name="KSOProductBuildVer">
    <vt:lpwstr>1033-12.2.0.17119</vt:lpwstr>
  </property>
</Properties>
</file>