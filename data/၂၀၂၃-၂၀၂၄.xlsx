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705" windowWidth="20415" windowHeight="7515"/>
  </bookViews>
  <sheets>
    <sheet name="1year" sheetId="144" r:id="rId1"/>
  </sheets>
  <definedNames>
    <definedName name="_xlnm.Print_Titles" localSheetId="0">'1year'!$2:$5</definedName>
  </definedNames>
  <calcPr calcId="144525"/>
</workbook>
</file>

<file path=xl/calcChain.xml><?xml version="1.0" encoding="utf-8"?>
<calcChain xmlns="http://schemas.openxmlformats.org/spreadsheetml/2006/main">
  <c r="E24" i="144" l="1"/>
  <c r="H24" i="144"/>
  <c r="I24" i="144"/>
  <c r="N24" i="144"/>
  <c r="S24" i="144"/>
  <c r="Y24" i="144"/>
  <c r="Q16" i="144" l="1"/>
  <c r="U16" i="144" s="1"/>
  <c r="V16" i="144"/>
  <c r="Q17" i="144"/>
  <c r="T17" i="144"/>
  <c r="O18" i="144"/>
  <c r="R18" i="144"/>
  <c r="V18" i="144"/>
  <c r="Q19" i="144"/>
  <c r="U19" i="144" s="1"/>
  <c r="W19" i="144" s="1"/>
  <c r="Q20" i="144"/>
  <c r="U20" i="144" s="1"/>
  <c r="W20" i="144" s="1"/>
  <c r="Q21" i="144"/>
  <c r="U21" i="144" s="1"/>
  <c r="W21" i="144" s="1"/>
  <c r="Q22" i="144"/>
  <c r="U22" i="144" s="1"/>
  <c r="W22" i="144" s="1"/>
  <c r="Q23" i="144"/>
  <c r="U23" i="144" s="1"/>
  <c r="W23" i="144" s="1"/>
  <c r="U18" i="144" l="1"/>
  <c r="W18" i="144" s="1"/>
  <c r="R24" i="144"/>
  <c r="W16" i="144"/>
  <c r="U17" i="144"/>
  <c r="W17" i="144" s="1"/>
  <c r="V15" i="144" l="1"/>
  <c r="Q15" i="144"/>
  <c r="U15" i="144" s="1"/>
  <c r="O15" i="144"/>
  <c r="V14" i="144"/>
  <c r="Q14" i="144"/>
  <c r="U14" i="144" s="1"/>
  <c r="X14" i="144" s="1"/>
  <c r="X24" i="144" s="1"/>
  <c r="O14" i="144"/>
  <c r="Q13" i="144"/>
  <c r="U13" i="144" s="1"/>
  <c r="W13" i="144" s="1"/>
  <c r="O13" i="144"/>
  <c r="Q12" i="144"/>
  <c r="U12" i="144" s="1"/>
  <c r="W12" i="144" s="1"/>
  <c r="Q11" i="144"/>
  <c r="U11" i="144" s="1"/>
  <c r="W11" i="144" s="1"/>
  <c r="Q10" i="144"/>
  <c r="U10" i="144" s="1"/>
  <c r="W10" i="144" s="1"/>
  <c r="Q9" i="144"/>
  <c r="U9" i="144" s="1"/>
  <c r="W9" i="144" s="1"/>
  <c r="T8" i="144"/>
  <c r="Q8" i="144"/>
  <c r="V7" i="144"/>
  <c r="Q7" i="144"/>
  <c r="U7" i="144" s="1"/>
  <c r="O7" i="144"/>
  <c r="T6" i="144"/>
  <c r="Q6" i="144"/>
  <c r="V24" i="144" l="1"/>
  <c r="Q24" i="144"/>
  <c r="T24" i="144"/>
  <c r="O24" i="144"/>
  <c r="U8" i="144"/>
  <c r="W8" i="144" s="1"/>
  <c r="W15" i="144"/>
  <c r="W7" i="144"/>
  <c r="U6" i="144"/>
  <c r="W14" i="144"/>
  <c r="U24" i="144" l="1"/>
  <c r="W6" i="144"/>
  <c r="W24" i="144" s="1"/>
</calcChain>
</file>

<file path=xl/sharedStrings.xml><?xml version="1.0" encoding="utf-8"?>
<sst xmlns="http://schemas.openxmlformats.org/spreadsheetml/2006/main" count="101" uniqueCount="77">
  <si>
    <t>ဘေး</t>
  </si>
  <si>
    <t>အိမ်ခြေ</t>
  </si>
  <si>
    <t>စုစုပေါင်း</t>
  </si>
  <si>
    <t>ပြောင်း ရွှေ့</t>
  </si>
  <si>
    <t>သေဆုံး/
ဒဏ်ရာရ</t>
  </si>
  <si>
    <t>သေဆုံး</t>
  </si>
  <si>
    <t>OA</t>
  </si>
  <si>
    <t>ငါး
ပြည်တွင်း</t>
  </si>
  <si>
    <t>ဘာသာရေးကျောင်း</t>
  </si>
  <si>
    <t>ရန်ပုံငွေထောက်ပံ့မှုစာရင်း</t>
  </si>
  <si>
    <t>ထောက်ပံ့မှုငွေကျပ်စုစုပေါင်း</t>
  </si>
  <si>
    <t>လုံး၀ ပျက်စီး</t>
  </si>
  <si>
    <t>တစ်စိတ်တစ်ပိုင်းပျက်စီး</t>
  </si>
  <si>
    <t>အိမ်
ထောင်
စု</t>
  </si>
  <si>
    <t>ဆန်ရိက္ခာ</t>
  </si>
  <si>
    <t>ရန်ပုံငွေ စုစုပေါင်း</t>
  </si>
  <si>
    <t>ကဆရ ပစ္စည်း</t>
  </si>
  <si>
    <t>(၀၅-၀၃)
ရန်ပုံငွေ</t>
  </si>
  <si>
    <t>မြို့နယ်/ရပ်ကွက်/
ကျေးရွာ</t>
  </si>
  <si>
    <t>မှတ်
ချက်</t>
  </si>
  <si>
    <t>အ
ခြား</t>
  </si>
  <si>
    <t>အိမ်/
ကျောင်း ဆောက် ပစ္စည်း</t>
  </si>
  <si>
    <t>ဘေး
သင့်
လူဦး
ရေ</t>
  </si>
  <si>
    <t>လုံး၀ ပျက်
စီး</t>
  </si>
  <si>
    <t>ဆုံးရှုံးမှု
တန်ဖိုး
(ကျပ်
သန်း)</t>
  </si>
  <si>
    <t xml:space="preserve">ဒဏ် ရာ
ရ </t>
  </si>
  <si>
    <t>ဘေးဖြစ်နေ့</t>
  </si>
  <si>
    <t>တစ်စိတ်တစ်ပိုင်း
ပျက်
စီး</t>
  </si>
  <si>
    <t>စဉ်</t>
  </si>
  <si>
    <t>ပဲခူးမြို့နယ်၊ ရပ်ကွက်(၁၃) ရပ်ကွက်၊ ကျေးရွာအုပ်စု(၈)စု</t>
  </si>
  <si>
    <t>ရေ</t>
  </si>
  <si>
    <t>၈.၈.၂၀၂၃
၁၃.၈.၂၀၂၃</t>
  </si>
  <si>
    <t>၁၂.၈.၂၀၂၃ မှ
၁၄.၈.၂၀၂၃ထိ</t>
  </si>
  <si>
    <t>ပဲခူးမြို့နယ်၊ရပ်ကွက်(၂) ရပ်ကွက်၊ကျေးရွာအုပ်စု(၁)အုပ်စု</t>
  </si>
  <si>
    <t>၁၈.၈.၂၀၂၃</t>
  </si>
  <si>
    <t>ရွှေကျင်မြို့နယ်၊ ရပ်ကွက်(၂)
ရပ်ကွက်၊ အုပ်စု(၁)အုပ်စု</t>
  </si>
  <si>
    <t>၈.၈.၂၀၂၃
၉.၈.၂၀၂၃</t>
  </si>
  <si>
    <t>၁၀.၈.၂၀၂၃
၁၄.၈.၂၀၂၃</t>
  </si>
  <si>
    <t>သနပ်ပင်မြို့နယ်၊ တာဝရေတံခါးကျေးရွာအုပ်စု၊ တာဝရေတံခါးကျေးရွာ</t>
  </si>
  <si>
    <t>၁၁.၈.၂၀၂၃</t>
  </si>
  <si>
    <t>၁၄.၈.၂၀၂၃</t>
  </si>
  <si>
    <t>တောင်ငူမြို့နယ်၊ အမှတ်(၂၂) ရပ်ကွက်၊ ပန်းဘဲလမ်း</t>
  </si>
  <si>
    <t>၁၃.၈.၂၀၂၃</t>
  </si>
  <si>
    <t>ပန်းတောင်းမြို့နယ်၊ (ဆင်တဲ၊
ထုံးဘို၊ ရွာသာယာ၊ ရေလည်
ကျွန်း)အုပ်စုနှင့် ဖောင်းကန်
ရပ်ကွက်</t>
  </si>
  <si>
    <t>၅.၉.၂၀၂၃
မှ
၉.၉.၂၀၂၃
ထိ</t>
  </si>
  <si>
    <t>၈.၉.၂၀၂၃
၁၁.၉.၂၀၂၃</t>
  </si>
  <si>
    <t>ရွှေတောင်မြို့နယ်၊ ယွန်းတန်း
ရပ်ကွက်၊ ကြာနီကန်ရပ်ကွက်၊
မင်းတဲကျွန်းကျေးရွာအုပ်စု</t>
  </si>
  <si>
    <t>၆.၉.၂၀၂၃
မှ
၈.၉.၂၀၂၃</t>
  </si>
  <si>
    <t>မိုးညိုမြို့နယ်၊ ဖလံချောင်း
ကျေးရွာအုပ်စု၊ ဖလံချောင်း
ကျေးရွာ</t>
  </si>
  <si>
    <t>၆.၉.၂၀၂၃</t>
  </si>
  <si>
    <t>ပြည်မြို့နယ်၊ နဝင်းရပ်ကွက်၊
ဖိုးခေါင်အပိုင်း(၂)</t>
  </si>
  <si>
    <t>၇.၉.၂၀၂၃</t>
  </si>
  <si>
    <t>၈.၉.၂၀၂၃</t>
  </si>
  <si>
    <t>မိုးညိုမြို့နယ်၊ လက်ပံခုံ
ကျေးရွာအုပ်စု၊ လက်ပံခုံကျေးရွာ</t>
  </si>
  <si>
    <t>၉.၉.၂၀၂၃</t>
  </si>
  <si>
    <t>၁၁.၉.၂၀၂၃</t>
  </si>
  <si>
    <t>ရန်ပုံငွေ
ထောက်ပံ့ နေ့</t>
  </si>
  <si>
    <t>၁၆.၁၀.၂၀၂၃</t>
  </si>
  <si>
    <t>၁၃.၁၀.၂၀၂၃</t>
  </si>
  <si>
    <t>ရေတာရှည်မြို့နယ်၊ 
ကြာအင်းကုန်းကျေးရွာအုပ်စု</t>
  </si>
  <si>
    <t>တောင်ငူမြို့နယ်၊ အနောက်ဆင်
ကျေးရွာအုပ်စု၊ အမှတ်(၉)
ရပ်ကွက်</t>
  </si>
  <si>
    <t>၁၄.၁၀.၂၀၂၃</t>
  </si>
  <si>
    <t>၁၂.၁၀.၂၀၂၃</t>
  </si>
  <si>
    <t>ဝေါမြို့နယ်၊ ရပ်ကွက်(၃)
ရပ်ကွက်၊ ကျေးရွာအုပ်စု(၂)
အုပ်စု</t>
  </si>
  <si>
    <t>၁၀.၁၀.၂၀၂၃</t>
  </si>
  <si>
    <t>ကဝမြို့နယ်၊ နဘဲပင်ကျေးရွာ
အုပ်စု၊ ကျေးရွာ(၃)ရွာ</t>
  </si>
  <si>
    <t>သနပ်ပင်မြို့နယ်၊ ရပ်ကွက်(၂)
ရပ်ကွက်၊ ကျေးရွာအုပ်စု(၅)
အုပ်စု</t>
  </si>
  <si>
    <t>၁၈.၁၀.၂၀၂၃</t>
  </si>
  <si>
    <t>ပဲခူးမြို့နယ်၊ရပ်ကွက်(၇)ရပ်ကွက်၊ ကျေးရွာအုပ်စု (၁)အုပ်စု</t>
  </si>
  <si>
    <t>၉.၁၀.၂၀၂၃
၁၂.၁၀.၂၀၂၃</t>
  </si>
  <si>
    <t>၈.၁၀.၂၀၂၃
၁၀.၁၀.၂၀၂၃</t>
  </si>
  <si>
    <t>ပဲခူးမြို့နယ်၊ ရပ်ကွက်(၁၅) ရပ်ကွက်၊ ကျေးရွာအုပ်စု(၁၂)စု</t>
  </si>
  <si>
    <t>၁.၁၀.၂၀၂၃</t>
  </si>
  <si>
    <t>၃၀.၉.၂၀၂၃</t>
  </si>
  <si>
    <t>ဇီးကုန်းမြို့နယ်၊ သရပ်တပင်
ကျေးရွာအုပ်စု၊ အုတ်ဖိုစု
ကျေးရွာ</t>
  </si>
  <si>
    <t>ဘေးအန္တရာယ်ဆိုင်ရာစီမံခန့်ခွဲမှုဦးစီးဌာန၊ ပဲခူးတိုင်းဒေသကြီးဦးစီးမှူးရုံး၊ ခရိုင်ဦးစီးမှူးရုံးများနှင့် မြို့နယ်ဦးစီးမှူးရုံးများမှ ဘေးဖြစ်ပွားမှုများအတွက်ထောက်ပံ့မှုစာရင်း
(၄/၂၀၂၃)လမှ (၃/၂၀၂၄)လအထိ နှစ်ချုပ်</t>
  </si>
  <si>
    <t>ပဲခူးတိုင်းချုပ်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</si>
</sst>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000455]0"/>
    <numFmt numFmtId="165" formatCode="[$-10000455]0.00"/>
    <numFmt numFmtId="168" formatCode="[$-10000455]0.##"/>
  </numFmts>
  <fonts count="4" x14ac:knownFonts="1">
    <font>
      <sz val="11"/>
      <color theme="1"/>
      <name val="Calibri"/>
      <family val="2"/>
      <scheme val="minor"/>
    </font>
    <font>
      <sz val="13"/>
      <name val="Pyidaungsu"/>
      <family val="2"/>
    </font>
    <font>
      <b/>
      <sz val="13"/>
      <name val="Pyidaungsu"/>
      <family val="2"/>
    </font>
    <font>
      <b/>
      <sz val="22"/>
      <name val="Pyidaungsu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Fill="1"/>
    <xf numFmtId="164" fontId="1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right" vertical="center"/>
    </xf>
    <xf numFmtId="165" fontId="1" fillId="0" borderId="2" xfId="0" applyNumberFormat="1" applyFont="1" applyFill="1" applyBorder="1" applyAlignment="1">
      <alignment horizontal="right" vertical="center" wrapText="1"/>
    </xf>
    <xf numFmtId="165" fontId="1" fillId="0" borderId="2" xfId="0" applyNumberFormat="1" applyFont="1" applyFill="1" applyBorder="1" applyAlignment="1">
      <alignment horizontal="right" vertical="center"/>
    </xf>
    <xf numFmtId="164" fontId="1" fillId="0" borderId="2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165" fontId="2" fillId="0" borderId="2" xfId="0" applyNumberFormat="1" applyFont="1" applyFill="1" applyBorder="1" applyAlignment="1">
      <alignment horizontal="right" vertical="center" wrapText="1"/>
    </xf>
    <xf numFmtId="168" fontId="1" fillId="0" borderId="2" xfId="0" applyNumberFormat="1" applyFont="1" applyFill="1" applyBorder="1" applyAlignment="1">
      <alignment horizontal="right" vertical="center"/>
    </xf>
    <xf numFmtId="168" fontId="1" fillId="0" borderId="2" xfId="0" quotePrefix="1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right" vertical="center" wrapText="1"/>
    </xf>
    <xf numFmtId="164" fontId="2" fillId="3" borderId="2" xfId="0" applyNumberFormat="1" applyFont="1" applyFill="1" applyBorder="1" applyAlignment="1">
      <alignment vertical="center" wrapText="1"/>
    </xf>
    <xf numFmtId="164" fontId="2" fillId="3" borderId="8" xfId="0" applyNumberFormat="1" applyFont="1" applyFill="1" applyBorder="1" applyAlignment="1">
      <alignment horizontal="right" vertical="center" wrapText="1"/>
    </xf>
    <xf numFmtId="164" fontId="2" fillId="3" borderId="0" xfId="0" applyNumberFormat="1" applyFont="1" applyFill="1" applyBorder="1" applyAlignment="1">
      <alignment horizontal="right" vertical="center" wrapText="1"/>
    </xf>
    <xf numFmtId="164" fontId="1" fillId="3" borderId="0" xfId="0" applyNumberFormat="1" applyFont="1" applyFill="1"/>
    <xf numFmtId="0" fontId="1" fillId="3" borderId="0" xfId="0" applyFont="1" applyFill="1"/>
    <xf numFmtId="0" fontId="1" fillId="0" borderId="0" xfId="0" applyFont="1"/>
    <xf numFmtId="164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quotePrefix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64" fontId="1" fillId="0" borderId="8" xfId="0" applyNumberFormat="1" applyFont="1" applyFill="1" applyBorder="1" applyAlignment="1">
      <alignment horizontal="center" vertical="center" wrapText="1"/>
    </xf>
    <xf numFmtId="164" fontId="1" fillId="2" borderId="8" xfId="0" quotePrefix="1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8" xfId="0" quotePrefix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168" fontId="1" fillId="0" borderId="8" xfId="0" applyNumberFormat="1" applyFont="1" applyBorder="1" applyAlignment="1">
      <alignment horizontal="right" vertical="center"/>
    </xf>
    <xf numFmtId="0" fontId="1" fillId="0" borderId="8" xfId="0" quotePrefix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8" xfId="0" applyNumberFormat="1" applyFont="1" applyFill="1" applyBorder="1" applyAlignment="1">
      <alignment horizontal="right" vertical="center" wrapText="1"/>
    </xf>
    <xf numFmtId="0" fontId="1" fillId="0" borderId="8" xfId="0" applyFont="1" applyFill="1" applyBorder="1" applyAlignment="1">
      <alignment horizontal="right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65" fontId="1" fillId="0" borderId="8" xfId="0" applyNumberFormat="1" applyFont="1" applyBorder="1" applyAlignment="1">
      <alignment horizontal="right" vertical="center"/>
    </xf>
    <xf numFmtId="165" fontId="2" fillId="0" borderId="8" xfId="0" applyNumberFormat="1" applyFont="1" applyBorder="1" applyAlignment="1">
      <alignment horizontal="right" vertical="center" wrapText="1"/>
    </xf>
    <xf numFmtId="168" fontId="1" fillId="0" borderId="8" xfId="0" quotePrefix="1" applyNumberFormat="1" applyFont="1" applyBorder="1" applyAlignment="1">
      <alignment horizontal="right" vertical="center"/>
    </xf>
    <xf numFmtId="0" fontId="3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 wrapText="1"/>
    </xf>
    <xf numFmtId="0" fontId="1" fillId="0" borderId="2" xfId="0" quotePrefix="1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24"/>
  <sheetViews>
    <sheetView tabSelected="1" topLeftCell="A22" zoomScale="80" zoomScaleNormal="80" workbookViewId="0">
      <selection activeCell="L31" sqref="L31"/>
    </sheetView>
  </sheetViews>
  <sheetFormatPr defaultRowHeight="21.75" x14ac:dyDescent="0.55000000000000004"/>
  <cols>
    <col min="1" max="1" width="6.42578125" style="24" customWidth="1"/>
    <col min="2" max="2" width="29.28515625" style="24" customWidth="1"/>
    <col min="3" max="3" width="8.42578125" style="24" customWidth="1"/>
    <col min="4" max="4" width="12" style="24" customWidth="1"/>
    <col min="5" max="7" width="8.5703125" style="24" customWidth="1"/>
    <col min="8" max="9" width="9.5703125" style="24" bestFit="1" customWidth="1"/>
    <col min="10" max="10" width="8.28515625" style="24" customWidth="1"/>
    <col min="11" max="11" width="6.85546875" style="24" customWidth="1"/>
    <col min="12" max="12" width="6.5703125" style="24" customWidth="1"/>
    <col min="13" max="13" width="6.85546875" style="24" customWidth="1"/>
    <col min="14" max="14" width="6.5703125" style="24" customWidth="1"/>
    <col min="15" max="15" width="9.7109375" style="24" customWidth="1"/>
    <col min="16" max="16" width="13.42578125" style="24" customWidth="1"/>
    <col min="17" max="17" width="17" style="24" customWidth="1"/>
    <col min="18" max="18" width="18" style="24" customWidth="1"/>
    <col min="19" max="19" width="13.42578125" style="24" customWidth="1"/>
    <col min="20" max="20" width="14.85546875" style="24" bestFit="1" customWidth="1"/>
    <col min="21" max="21" width="15.5703125" style="24" bestFit="1" customWidth="1"/>
    <col min="22" max="22" width="15.28515625" style="24" bestFit="1" customWidth="1"/>
    <col min="23" max="23" width="15" style="24" customWidth="1"/>
    <col min="24" max="24" width="16.5703125" style="24" customWidth="1"/>
    <col min="25" max="25" width="12.42578125" style="24" customWidth="1"/>
    <col min="26" max="26" width="5.7109375" style="24" customWidth="1"/>
    <col min="27" max="27" width="6.7109375" style="24" customWidth="1"/>
    <col min="28" max="28" width="19.85546875" style="24" customWidth="1"/>
    <col min="29" max="29" width="12.85546875" style="24" bestFit="1" customWidth="1"/>
    <col min="30" max="30" width="11" style="24" bestFit="1" customWidth="1"/>
    <col min="31" max="32" width="9.28515625" style="24" bestFit="1" customWidth="1"/>
    <col min="33" max="16384" width="9.140625" style="24"/>
  </cols>
  <sheetData>
    <row r="1" spans="1:29" s="1" customFormat="1" ht="84" customHeight="1" x14ac:dyDescent="0.55000000000000004">
      <c r="A1" s="49" t="s">
        <v>75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</row>
    <row r="2" spans="1:29" s="1" customFormat="1" ht="29.25" customHeight="1" x14ac:dyDescent="0.55000000000000004">
      <c r="A2" s="50" t="s">
        <v>28</v>
      </c>
      <c r="B2" s="53" t="s">
        <v>18</v>
      </c>
      <c r="C2" s="50" t="s">
        <v>0</v>
      </c>
      <c r="D2" s="53" t="s">
        <v>26</v>
      </c>
      <c r="E2" s="56" t="s">
        <v>1</v>
      </c>
      <c r="F2" s="57"/>
      <c r="G2" s="58"/>
      <c r="H2" s="53" t="s">
        <v>13</v>
      </c>
      <c r="I2" s="53" t="s">
        <v>22</v>
      </c>
      <c r="J2" s="56" t="s">
        <v>8</v>
      </c>
      <c r="K2" s="57"/>
      <c r="L2" s="58"/>
      <c r="M2" s="53" t="s">
        <v>5</v>
      </c>
      <c r="N2" s="53" t="s">
        <v>25</v>
      </c>
      <c r="O2" s="53" t="s">
        <v>24</v>
      </c>
      <c r="P2" s="53" t="s">
        <v>56</v>
      </c>
      <c r="Q2" s="56" t="s">
        <v>9</v>
      </c>
      <c r="R2" s="57"/>
      <c r="S2" s="57"/>
      <c r="T2" s="57"/>
      <c r="U2" s="58"/>
      <c r="V2" s="53" t="s">
        <v>16</v>
      </c>
      <c r="W2" s="50" t="s">
        <v>2</v>
      </c>
      <c r="X2" s="59" t="s">
        <v>10</v>
      </c>
      <c r="Y2" s="59"/>
      <c r="Z2" s="59"/>
      <c r="AA2" s="53" t="s">
        <v>19</v>
      </c>
    </row>
    <row r="3" spans="1:29" s="1" customFormat="1" ht="60.75" customHeight="1" x14ac:dyDescent="0.55000000000000004">
      <c r="A3" s="51"/>
      <c r="B3" s="54"/>
      <c r="C3" s="51"/>
      <c r="D3" s="54"/>
      <c r="E3" s="53" t="s">
        <v>23</v>
      </c>
      <c r="F3" s="53" t="s">
        <v>27</v>
      </c>
      <c r="G3" s="53" t="s">
        <v>3</v>
      </c>
      <c r="H3" s="54"/>
      <c r="I3" s="54"/>
      <c r="J3" s="53" t="s">
        <v>11</v>
      </c>
      <c r="K3" s="53" t="s">
        <v>12</v>
      </c>
      <c r="L3" s="53" t="s">
        <v>3</v>
      </c>
      <c r="M3" s="54"/>
      <c r="N3" s="54"/>
      <c r="O3" s="51"/>
      <c r="P3" s="51"/>
      <c r="Q3" s="50" t="s">
        <v>14</v>
      </c>
      <c r="R3" s="53" t="s">
        <v>21</v>
      </c>
      <c r="S3" s="53" t="s">
        <v>4</v>
      </c>
      <c r="T3" s="53" t="s">
        <v>20</v>
      </c>
      <c r="U3" s="53" t="s">
        <v>15</v>
      </c>
      <c r="V3" s="54"/>
      <c r="W3" s="51"/>
      <c r="X3" s="53" t="s">
        <v>17</v>
      </c>
      <c r="Y3" s="53" t="s">
        <v>7</v>
      </c>
      <c r="Z3" s="50" t="s">
        <v>6</v>
      </c>
      <c r="AA3" s="54"/>
    </row>
    <row r="4" spans="1:29" s="1" customFormat="1" ht="29.25" customHeight="1" x14ac:dyDescent="0.55000000000000004">
      <c r="A4" s="51"/>
      <c r="B4" s="54"/>
      <c r="C4" s="51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1"/>
      <c r="P4" s="51"/>
      <c r="Q4" s="51"/>
      <c r="R4" s="54"/>
      <c r="S4" s="54"/>
      <c r="T4" s="51"/>
      <c r="U4" s="54"/>
      <c r="V4" s="54"/>
      <c r="W4" s="51"/>
      <c r="X4" s="54"/>
      <c r="Y4" s="54"/>
      <c r="Z4" s="51"/>
      <c r="AA4" s="54"/>
    </row>
    <row r="5" spans="1:29" s="1" customFormat="1" ht="34.5" customHeight="1" x14ac:dyDescent="0.55000000000000004">
      <c r="A5" s="52"/>
      <c r="B5" s="55"/>
      <c r="C5" s="52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2"/>
      <c r="P5" s="52"/>
      <c r="Q5" s="52"/>
      <c r="R5" s="55"/>
      <c r="S5" s="55"/>
      <c r="T5" s="52"/>
      <c r="U5" s="55"/>
      <c r="V5" s="55"/>
      <c r="W5" s="52"/>
      <c r="X5" s="55"/>
      <c r="Y5" s="55"/>
      <c r="Z5" s="52"/>
      <c r="AA5" s="55"/>
    </row>
    <row r="6" spans="1:29" s="1" customFormat="1" ht="54.75" customHeight="1" x14ac:dyDescent="0.55000000000000004">
      <c r="A6" s="60">
        <v>1</v>
      </c>
      <c r="B6" s="3" t="s">
        <v>29</v>
      </c>
      <c r="C6" s="62" t="s">
        <v>30</v>
      </c>
      <c r="D6" s="64" t="s">
        <v>31</v>
      </c>
      <c r="E6" s="2"/>
      <c r="F6" s="4"/>
      <c r="G6" s="2"/>
      <c r="H6" s="2">
        <v>4521</v>
      </c>
      <c r="I6" s="2">
        <v>19322</v>
      </c>
      <c r="J6" s="4"/>
      <c r="K6" s="4"/>
      <c r="L6" s="4"/>
      <c r="M6" s="4"/>
      <c r="N6" s="4"/>
      <c r="O6" s="12"/>
      <c r="P6" s="27" t="s">
        <v>32</v>
      </c>
      <c r="Q6" s="9">
        <f t="shared" ref="Q6:Q15" si="0">I6*2100</f>
        <v>40576200</v>
      </c>
      <c r="R6" s="5"/>
      <c r="S6" s="10"/>
      <c r="T6" s="9">
        <f>14116560+7668800</f>
        <v>21785360</v>
      </c>
      <c r="U6" s="5">
        <f>SUM(Q6:T6)</f>
        <v>62361560</v>
      </c>
      <c r="V6" s="5"/>
      <c r="W6" s="9">
        <f>SUM(U6:V6)</f>
        <v>62361560</v>
      </c>
      <c r="X6" s="5">
        <v>62361560</v>
      </c>
      <c r="Y6" s="10"/>
      <c r="Z6" s="26"/>
      <c r="AA6" s="4"/>
      <c r="AB6" s="28"/>
      <c r="AC6" s="28"/>
    </row>
    <row r="7" spans="1:29" s="1" customFormat="1" ht="63" customHeight="1" x14ac:dyDescent="0.55000000000000004">
      <c r="A7" s="61"/>
      <c r="B7" s="3" t="s">
        <v>33</v>
      </c>
      <c r="C7" s="63"/>
      <c r="D7" s="65"/>
      <c r="E7" s="2">
        <v>6</v>
      </c>
      <c r="F7" s="4"/>
      <c r="G7" s="2"/>
      <c r="H7" s="2">
        <v>6</v>
      </c>
      <c r="I7" s="2">
        <v>32</v>
      </c>
      <c r="J7" s="4"/>
      <c r="K7" s="4"/>
      <c r="L7" s="4"/>
      <c r="M7" s="4"/>
      <c r="N7" s="4"/>
      <c r="O7" s="8">
        <f>3400000/1000000</f>
        <v>3.4</v>
      </c>
      <c r="P7" s="6" t="s">
        <v>34</v>
      </c>
      <c r="Q7" s="9">
        <f t="shared" si="0"/>
        <v>67200</v>
      </c>
      <c r="R7" s="5">
        <v>600000</v>
      </c>
      <c r="S7" s="10"/>
      <c r="T7" s="9"/>
      <c r="U7" s="5">
        <f t="shared" ref="U7:U10" si="1">SUM(Q7:T7)</f>
        <v>667200</v>
      </c>
      <c r="V7" s="5">
        <f>H7*46036</f>
        <v>276216</v>
      </c>
      <c r="W7" s="9">
        <f t="shared" ref="W7:W12" si="2">SUM(U7:V7)</f>
        <v>943416</v>
      </c>
      <c r="X7" s="5">
        <v>667200</v>
      </c>
      <c r="Y7" s="10"/>
      <c r="Z7" s="26"/>
      <c r="AA7" s="4"/>
      <c r="AB7" s="28"/>
      <c r="AC7" s="28"/>
    </row>
    <row r="8" spans="1:29" s="1" customFormat="1" ht="60.75" customHeight="1" x14ac:dyDescent="0.55000000000000004">
      <c r="A8" s="25">
        <v>2</v>
      </c>
      <c r="B8" s="3" t="s">
        <v>35</v>
      </c>
      <c r="C8" s="26" t="s">
        <v>30</v>
      </c>
      <c r="D8" s="27" t="s">
        <v>36</v>
      </c>
      <c r="E8" s="2"/>
      <c r="F8" s="4"/>
      <c r="G8" s="2"/>
      <c r="H8" s="2">
        <v>73</v>
      </c>
      <c r="I8" s="2">
        <v>377</v>
      </c>
      <c r="J8" s="4"/>
      <c r="K8" s="4"/>
      <c r="L8" s="4"/>
      <c r="M8" s="4"/>
      <c r="N8" s="4"/>
      <c r="O8" s="12"/>
      <c r="P8" s="27" t="s">
        <v>37</v>
      </c>
      <c r="Q8" s="9">
        <f t="shared" si="0"/>
        <v>791700</v>
      </c>
      <c r="R8" s="5"/>
      <c r="S8" s="10"/>
      <c r="T8" s="9">
        <f>85400+24400</f>
        <v>109800</v>
      </c>
      <c r="U8" s="5">
        <f>SUM(Q8:T8)</f>
        <v>901500</v>
      </c>
      <c r="V8" s="5"/>
      <c r="W8" s="9">
        <f t="shared" si="2"/>
        <v>901500</v>
      </c>
      <c r="X8" s="5">
        <v>901500</v>
      </c>
      <c r="Y8" s="10"/>
      <c r="Z8" s="26"/>
      <c r="AA8" s="4"/>
      <c r="AB8" s="28"/>
      <c r="AC8" s="28"/>
    </row>
    <row r="9" spans="1:29" s="1" customFormat="1" ht="72" customHeight="1" x14ac:dyDescent="0.55000000000000004">
      <c r="A9" s="25">
        <v>3</v>
      </c>
      <c r="B9" s="3" t="s">
        <v>38</v>
      </c>
      <c r="C9" s="26" t="s">
        <v>30</v>
      </c>
      <c r="D9" s="27" t="s">
        <v>39</v>
      </c>
      <c r="E9" s="2"/>
      <c r="F9" s="4"/>
      <c r="G9" s="2"/>
      <c r="H9" s="2">
        <v>29</v>
      </c>
      <c r="I9" s="2">
        <v>103</v>
      </c>
      <c r="J9" s="4"/>
      <c r="K9" s="4"/>
      <c r="L9" s="4"/>
      <c r="M9" s="4"/>
      <c r="N9" s="4"/>
      <c r="O9" s="12"/>
      <c r="P9" s="6" t="s">
        <v>40</v>
      </c>
      <c r="Q9" s="9">
        <f t="shared" si="0"/>
        <v>216300</v>
      </c>
      <c r="R9" s="5"/>
      <c r="S9" s="10"/>
      <c r="T9" s="9"/>
      <c r="U9" s="5">
        <f t="shared" si="1"/>
        <v>216300</v>
      </c>
      <c r="V9" s="5"/>
      <c r="W9" s="9">
        <f t="shared" si="2"/>
        <v>216300</v>
      </c>
      <c r="X9" s="5">
        <v>216300</v>
      </c>
      <c r="Y9" s="10"/>
      <c r="Z9" s="26"/>
      <c r="AA9" s="4"/>
      <c r="AB9" s="28"/>
      <c r="AC9" s="28"/>
    </row>
    <row r="10" spans="1:29" s="1" customFormat="1" ht="60" customHeight="1" x14ac:dyDescent="0.55000000000000004">
      <c r="A10" s="25">
        <v>4</v>
      </c>
      <c r="B10" s="3" t="s">
        <v>41</v>
      </c>
      <c r="C10" s="26" t="s">
        <v>30</v>
      </c>
      <c r="D10" s="27" t="s">
        <v>42</v>
      </c>
      <c r="E10" s="2">
        <v>1</v>
      </c>
      <c r="F10" s="4"/>
      <c r="G10" s="2"/>
      <c r="H10" s="2">
        <v>1</v>
      </c>
      <c r="I10" s="2">
        <v>4</v>
      </c>
      <c r="J10" s="4"/>
      <c r="K10" s="4"/>
      <c r="L10" s="4"/>
      <c r="M10" s="4"/>
      <c r="N10" s="4"/>
      <c r="O10" s="11">
        <v>2.5</v>
      </c>
      <c r="P10" s="12" t="s">
        <v>40</v>
      </c>
      <c r="Q10" s="9">
        <f t="shared" si="0"/>
        <v>8400</v>
      </c>
      <c r="R10" s="5">
        <v>100000</v>
      </c>
      <c r="S10" s="10"/>
      <c r="T10" s="9"/>
      <c r="U10" s="5">
        <f t="shared" si="1"/>
        <v>108400</v>
      </c>
      <c r="V10" s="5">
        <v>66034</v>
      </c>
      <c r="W10" s="9">
        <f t="shared" si="2"/>
        <v>174434</v>
      </c>
      <c r="X10" s="5">
        <v>108400</v>
      </c>
      <c r="Y10" s="10"/>
      <c r="Z10" s="26"/>
      <c r="AA10" s="4"/>
      <c r="AB10" s="28"/>
      <c r="AC10" s="28"/>
    </row>
    <row r="11" spans="1:29" s="1" customFormat="1" ht="95.25" customHeight="1" x14ac:dyDescent="0.55000000000000004">
      <c r="A11" s="25">
        <v>5</v>
      </c>
      <c r="B11" s="3" t="s">
        <v>43</v>
      </c>
      <c r="C11" s="26" t="s">
        <v>30</v>
      </c>
      <c r="D11" s="27" t="s">
        <v>44</v>
      </c>
      <c r="E11" s="2"/>
      <c r="F11" s="4"/>
      <c r="G11" s="2"/>
      <c r="H11" s="2">
        <v>99</v>
      </c>
      <c r="I11" s="2">
        <v>404</v>
      </c>
      <c r="J11" s="4"/>
      <c r="K11" s="4"/>
      <c r="L11" s="4"/>
      <c r="M11" s="4"/>
      <c r="N11" s="4"/>
      <c r="O11" s="12"/>
      <c r="P11" s="27" t="s">
        <v>45</v>
      </c>
      <c r="Q11" s="9">
        <f t="shared" si="0"/>
        <v>848400</v>
      </c>
      <c r="R11" s="5"/>
      <c r="S11" s="10"/>
      <c r="T11" s="9"/>
      <c r="U11" s="5">
        <f>SUM(Q11:T11)</f>
        <v>848400</v>
      </c>
      <c r="V11" s="5"/>
      <c r="W11" s="9">
        <f t="shared" si="2"/>
        <v>848400</v>
      </c>
      <c r="X11" s="5">
        <v>848400</v>
      </c>
      <c r="Y11" s="10"/>
      <c r="Z11" s="26"/>
      <c r="AA11" s="4"/>
      <c r="AB11" s="28"/>
      <c r="AC11" s="28"/>
    </row>
    <row r="12" spans="1:29" s="1" customFormat="1" ht="74.25" customHeight="1" x14ac:dyDescent="0.55000000000000004">
      <c r="A12" s="25">
        <v>6</v>
      </c>
      <c r="B12" s="3" t="s">
        <v>46</v>
      </c>
      <c r="C12" s="26" t="s">
        <v>30</v>
      </c>
      <c r="D12" s="27" t="s">
        <v>47</v>
      </c>
      <c r="E12" s="2"/>
      <c r="F12" s="4"/>
      <c r="G12" s="2"/>
      <c r="H12" s="2">
        <v>70</v>
      </c>
      <c r="I12" s="2">
        <v>261</v>
      </c>
      <c r="J12" s="4"/>
      <c r="K12" s="4"/>
      <c r="L12" s="4"/>
      <c r="M12" s="4"/>
      <c r="N12" s="4"/>
      <c r="O12" s="12"/>
      <c r="P12" s="27" t="s">
        <v>45</v>
      </c>
      <c r="Q12" s="9">
        <f t="shared" si="0"/>
        <v>548100</v>
      </c>
      <c r="R12" s="5"/>
      <c r="S12" s="10"/>
      <c r="T12" s="9"/>
      <c r="U12" s="5">
        <f t="shared" ref="U12:U13" si="3">SUM(Q12:T12)</f>
        <v>548100</v>
      </c>
      <c r="V12" s="5"/>
      <c r="W12" s="9">
        <f t="shared" si="2"/>
        <v>548100</v>
      </c>
      <c r="X12" s="5">
        <v>548100</v>
      </c>
      <c r="Y12" s="10"/>
      <c r="Z12" s="26"/>
      <c r="AA12" s="4"/>
      <c r="AB12" s="28"/>
      <c r="AC12" s="28"/>
    </row>
    <row r="13" spans="1:29" s="1" customFormat="1" ht="74.25" customHeight="1" x14ac:dyDescent="0.55000000000000004">
      <c r="A13" s="25">
        <v>7</v>
      </c>
      <c r="B13" s="3" t="s">
        <v>48</v>
      </c>
      <c r="C13" s="26" t="s">
        <v>30</v>
      </c>
      <c r="D13" s="27" t="s">
        <v>49</v>
      </c>
      <c r="E13" s="2">
        <v>1</v>
      </c>
      <c r="F13" s="4"/>
      <c r="G13" s="2"/>
      <c r="H13" s="2">
        <v>1</v>
      </c>
      <c r="I13" s="2">
        <v>6</v>
      </c>
      <c r="J13" s="4"/>
      <c r="K13" s="4"/>
      <c r="L13" s="4"/>
      <c r="M13" s="4"/>
      <c r="N13" s="4"/>
      <c r="O13" s="7">
        <f>400000/1000000</f>
        <v>0.4</v>
      </c>
      <c r="P13" s="13" t="s">
        <v>49</v>
      </c>
      <c r="Q13" s="9">
        <f t="shared" si="0"/>
        <v>12600</v>
      </c>
      <c r="R13" s="5">
        <v>100000</v>
      </c>
      <c r="S13" s="10"/>
      <c r="T13" s="9"/>
      <c r="U13" s="5">
        <f t="shared" si="3"/>
        <v>112600</v>
      </c>
      <c r="V13" s="5">
        <v>46036</v>
      </c>
      <c r="W13" s="9">
        <f t="shared" ref="W13:W23" si="4">SUM(U13:V13)</f>
        <v>158636</v>
      </c>
      <c r="X13" s="5">
        <v>112600</v>
      </c>
      <c r="Y13" s="10"/>
      <c r="Z13" s="26"/>
      <c r="AA13" s="4"/>
      <c r="AB13" s="28"/>
      <c r="AC13" s="28"/>
    </row>
    <row r="14" spans="1:29" s="1" customFormat="1" ht="62.25" customHeight="1" x14ac:dyDescent="0.55000000000000004">
      <c r="A14" s="25">
        <v>8</v>
      </c>
      <c r="B14" s="3" t="s">
        <v>50</v>
      </c>
      <c r="C14" s="26" t="s">
        <v>30</v>
      </c>
      <c r="D14" s="27" t="s">
        <v>51</v>
      </c>
      <c r="E14" s="2">
        <v>3</v>
      </c>
      <c r="F14" s="4"/>
      <c r="G14" s="2"/>
      <c r="H14" s="2">
        <v>3</v>
      </c>
      <c r="I14" s="2">
        <v>8</v>
      </c>
      <c r="J14" s="4"/>
      <c r="K14" s="4"/>
      <c r="L14" s="4"/>
      <c r="M14" s="4"/>
      <c r="N14" s="2">
        <v>1</v>
      </c>
      <c r="O14" s="7">
        <f>3000000/1000000</f>
        <v>3</v>
      </c>
      <c r="P14" s="13" t="s">
        <v>52</v>
      </c>
      <c r="Q14" s="9">
        <f t="shared" si="0"/>
        <v>16800</v>
      </c>
      <c r="R14" s="5">
        <v>400000</v>
      </c>
      <c r="S14" s="5">
        <v>50000</v>
      </c>
      <c r="T14" s="9"/>
      <c r="U14" s="5">
        <f t="shared" ref="U14:U23" si="5">SUM(Q14:T14)</f>
        <v>466800</v>
      </c>
      <c r="V14" s="5">
        <f>3*46036</f>
        <v>138108</v>
      </c>
      <c r="W14" s="9">
        <f t="shared" si="4"/>
        <v>604908</v>
      </c>
      <c r="X14" s="5">
        <f>U14-50000</f>
        <v>416800</v>
      </c>
      <c r="Y14" s="5">
        <v>50000</v>
      </c>
      <c r="Z14" s="26"/>
      <c r="AA14" s="4"/>
      <c r="AB14" s="28"/>
      <c r="AC14" s="31"/>
    </row>
    <row r="15" spans="1:29" s="1" customFormat="1" ht="62.25" customHeight="1" x14ac:dyDescent="0.55000000000000004">
      <c r="A15" s="25">
        <v>9</v>
      </c>
      <c r="B15" s="3" t="s">
        <v>53</v>
      </c>
      <c r="C15" s="26" t="s">
        <v>30</v>
      </c>
      <c r="D15" s="27" t="s">
        <v>54</v>
      </c>
      <c r="E15" s="2">
        <v>1</v>
      </c>
      <c r="F15" s="4"/>
      <c r="G15" s="2"/>
      <c r="H15" s="2">
        <v>1</v>
      </c>
      <c r="I15" s="2">
        <v>1</v>
      </c>
      <c r="J15" s="4"/>
      <c r="K15" s="4"/>
      <c r="L15" s="4"/>
      <c r="M15" s="4"/>
      <c r="N15" s="4"/>
      <c r="O15" s="7">
        <f>300000/1000000</f>
        <v>0.3</v>
      </c>
      <c r="P15" s="13" t="s">
        <v>55</v>
      </c>
      <c r="Q15" s="9">
        <f t="shared" si="0"/>
        <v>2100</v>
      </c>
      <c r="R15" s="5">
        <v>100000</v>
      </c>
      <c r="S15" s="10"/>
      <c r="T15" s="9"/>
      <c r="U15" s="5">
        <f t="shared" si="5"/>
        <v>102100</v>
      </c>
      <c r="V15" s="5">
        <f>1*46036</f>
        <v>46036</v>
      </c>
      <c r="W15" s="9">
        <f t="shared" si="4"/>
        <v>148136</v>
      </c>
      <c r="X15" s="5">
        <v>102100</v>
      </c>
      <c r="Y15" s="10"/>
      <c r="Z15" s="26"/>
      <c r="AA15" s="4"/>
      <c r="AB15" s="28"/>
      <c r="AC15" s="28"/>
    </row>
    <row r="16" spans="1:29" ht="62.25" customHeight="1" x14ac:dyDescent="0.55000000000000004">
      <c r="A16" s="32">
        <v>10</v>
      </c>
      <c r="B16" s="33" t="s">
        <v>74</v>
      </c>
      <c r="C16" s="34" t="s">
        <v>30</v>
      </c>
      <c r="D16" s="35" t="s">
        <v>73</v>
      </c>
      <c r="E16" s="36">
        <v>1</v>
      </c>
      <c r="F16" s="37"/>
      <c r="G16" s="36"/>
      <c r="H16" s="29">
        <v>1</v>
      </c>
      <c r="I16" s="36">
        <v>3</v>
      </c>
      <c r="J16" s="37"/>
      <c r="K16" s="37"/>
      <c r="L16" s="37"/>
      <c r="M16" s="38"/>
      <c r="N16" s="37"/>
      <c r="O16" s="39"/>
      <c r="P16" s="40" t="s">
        <v>72</v>
      </c>
      <c r="Q16" s="41">
        <f>I16*2100</f>
        <v>6300</v>
      </c>
      <c r="R16" s="42">
        <v>100000</v>
      </c>
      <c r="S16" s="43"/>
      <c r="T16" s="41"/>
      <c r="U16" s="44">
        <f t="shared" si="5"/>
        <v>106300</v>
      </c>
      <c r="V16" s="42">
        <f>E16*46036</f>
        <v>46036</v>
      </c>
      <c r="W16" s="41">
        <f t="shared" si="4"/>
        <v>152336</v>
      </c>
      <c r="X16" s="44">
        <v>106300</v>
      </c>
      <c r="Y16" s="37"/>
      <c r="Z16" s="34"/>
      <c r="AA16" s="37"/>
      <c r="AB16" s="45"/>
      <c r="AC16" s="45"/>
    </row>
    <row r="17" spans="1:30" ht="62.25" customHeight="1" x14ac:dyDescent="0.55000000000000004">
      <c r="A17" s="68">
        <v>11</v>
      </c>
      <c r="B17" s="33" t="s">
        <v>71</v>
      </c>
      <c r="C17" s="67" t="s">
        <v>30</v>
      </c>
      <c r="D17" s="66" t="s">
        <v>70</v>
      </c>
      <c r="E17" s="36"/>
      <c r="F17" s="37"/>
      <c r="G17" s="36"/>
      <c r="H17" s="29">
        <v>6282</v>
      </c>
      <c r="I17" s="36">
        <v>27302</v>
      </c>
      <c r="J17" s="37"/>
      <c r="K17" s="37"/>
      <c r="L17" s="37"/>
      <c r="M17" s="38"/>
      <c r="N17" s="37"/>
      <c r="O17" s="39"/>
      <c r="P17" s="30" t="s">
        <v>69</v>
      </c>
      <c r="Q17" s="41">
        <f>I17*2100</f>
        <v>57334200</v>
      </c>
      <c r="R17" s="42"/>
      <c r="S17" s="43"/>
      <c r="T17" s="41">
        <f>38950*450+20351*400</f>
        <v>25667900</v>
      </c>
      <c r="U17" s="44">
        <f t="shared" si="5"/>
        <v>83002100</v>
      </c>
      <c r="V17" s="42"/>
      <c r="W17" s="41">
        <f t="shared" si="4"/>
        <v>83002100</v>
      </c>
      <c r="X17" s="44">
        <v>83002100</v>
      </c>
      <c r="Y17" s="37"/>
      <c r="Z17" s="34"/>
      <c r="AA17" s="37"/>
      <c r="AB17" s="45"/>
      <c r="AC17" s="45"/>
    </row>
    <row r="18" spans="1:30" ht="62.25" customHeight="1" x14ac:dyDescent="0.55000000000000004">
      <c r="A18" s="68"/>
      <c r="B18" s="33" t="s">
        <v>68</v>
      </c>
      <c r="C18" s="67"/>
      <c r="D18" s="66"/>
      <c r="E18" s="36">
        <v>34</v>
      </c>
      <c r="F18" s="37"/>
      <c r="G18" s="36"/>
      <c r="H18" s="29"/>
      <c r="I18" s="36"/>
      <c r="J18" s="37"/>
      <c r="K18" s="37"/>
      <c r="L18" s="37"/>
      <c r="M18" s="38"/>
      <c r="N18" s="37"/>
      <c r="O18" s="46">
        <f>19900000/1000000</f>
        <v>19.899999999999999</v>
      </c>
      <c r="P18" s="40" t="s">
        <v>67</v>
      </c>
      <c r="Q18" s="41"/>
      <c r="R18" s="42">
        <f>34*100000</f>
        <v>3400000</v>
      </c>
      <c r="S18" s="43"/>
      <c r="T18" s="41"/>
      <c r="U18" s="44">
        <f t="shared" si="5"/>
        <v>3400000</v>
      </c>
      <c r="V18" s="42">
        <f>E18*46036</f>
        <v>1565224</v>
      </c>
      <c r="W18" s="41">
        <f t="shared" si="4"/>
        <v>4965224</v>
      </c>
      <c r="X18" s="44">
        <v>3400000</v>
      </c>
      <c r="Y18" s="37"/>
      <c r="Z18" s="34"/>
      <c r="AA18" s="37"/>
      <c r="AB18" s="45"/>
      <c r="AC18" s="45"/>
    </row>
    <row r="19" spans="1:30" ht="62.25" customHeight="1" x14ac:dyDescent="0.55000000000000004">
      <c r="A19" s="32">
        <v>12</v>
      </c>
      <c r="B19" s="33" t="s">
        <v>66</v>
      </c>
      <c r="C19" s="34" t="s">
        <v>30</v>
      </c>
      <c r="D19" s="35" t="s">
        <v>64</v>
      </c>
      <c r="E19" s="36"/>
      <c r="F19" s="37"/>
      <c r="G19" s="36"/>
      <c r="H19" s="29">
        <v>306</v>
      </c>
      <c r="I19" s="36">
        <v>1328</v>
      </c>
      <c r="J19" s="37"/>
      <c r="K19" s="37"/>
      <c r="L19" s="37"/>
      <c r="M19" s="38"/>
      <c r="N19" s="37"/>
      <c r="O19" s="39"/>
      <c r="P19" s="40" t="s">
        <v>58</v>
      </c>
      <c r="Q19" s="41">
        <f>I19*2100</f>
        <v>2788800</v>
      </c>
      <c r="R19" s="42"/>
      <c r="S19" s="43"/>
      <c r="T19" s="41"/>
      <c r="U19" s="44">
        <f t="shared" si="5"/>
        <v>2788800</v>
      </c>
      <c r="V19" s="42"/>
      <c r="W19" s="41">
        <f t="shared" si="4"/>
        <v>2788800</v>
      </c>
      <c r="X19" s="44">
        <v>2788800</v>
      </c>
      <c r="Y19" s="37"/>
      <c r="Z19" s="34"/>
      <c r="AA19" s="37"/>
      <c r="AB19" s="45"/>
      <c r="AC19" s="45"/>
    </row>
    <row r="20" spans="1:30" ht="62.25" customHeight="1" x14ac:dyDescent="0.55000000000000004">
      <c r="A20" s="32">
        <v>13</v>
      </c>
      <c r="B20" s="33" t="s">
        <v>65</v>
      </c>
      <c r="C20" s="34" t="s">
        <v>30</v>
      </c>
      <c r="D20" s="35" t="s">
        <v>64</v>
      </c>
      <c r="E20" s="36"/>
      <c r="F20" s="37"/>
      <c r="G20" s="36"/>
      <c r="H20" s="29">
        <v>39</v>
      </c>
      <c r="I20" s="36">
        <v>170</v>
      </c>
      <c r="J20" s="37"/>
      <c r="K20" s="37"/>
      <c r="L20" s="37"/>
      <c r="M20" s="38"/>
      <c r="N20" s="37"/>
      <c r="O20" s="39"/>
      <c r="P20" s="40" t="s">
        <v>58</v>
      </c>
      <c r="Q20" s="41">
        <f>I20*2100</f>
        <v>357000</v>
      </c>
      <c r="R20" s="42"/>
      <c r="S20" s="43"/>
      <c r="T20" s="41"/>
      <c r="U20" s="44">
        <f t="shared" si="5"/>
        <v>357000</v>
      </c>
      <c r="V20" s="42"/>
      <c r="W20" s="41">
        <f t="shared" si="4"/>
        <v>357000</v>
      </c>
      <c r="X20" s="44">
        <v>357000</v>
      </c>
      <c r="Y20" s="37"/>
      <c r="Z20" s="34"/>
      <c r="AA20" s="37"/>
      <c r="AB20" s="45"/>
      <c r="AC20" s="45"/>
    </row>
    <row r="21" spans="1:30" ht="62.25" customHeight="1" x14ac:dyDescent="0.55000000000000004">
      <c r="A21" s="32">
        <v>14</v>
      </c>
      <c r="B21" s="33" t="s">
        <v>63</v>
      </c>
      <c r="C21" s="34" t="s">
        <v>30</v>
      </c>
      <c r="D21" s="35" t="s">
        <v>62</v>
      </c>
      <c r="E21" s="36"/>
      <c r="F21" s="37"/>
      <c r="G21" s="36"/>
      <c r="H21" s="29">
        <v>105</v>
      </c>
      <c r="I21" s="36">
        <v>518</v>
      </c>
      <c r="J21" s="37"/>
      <c r="K21" s="37"/>
      <c r="L21" s="37"/>
      <c r="M21" s="38"/>
      <c r="N21" s="37"/>
      <c r="O21" s="39"/>
      <c r="P21" s="40" t="s">
        <v>61</v>
      </c>
      <c r="Q21" s="41">
        <f>I21*2100</f>
        <v>1087800</v>
      </c>
      <c r="R21" s="42"/>
      <c r="S21" s="43"/>
      <c r="T21" s="41"/>
      <c r="U21" s="44">
        <f t="shared" si="5"/>
        <v>1087800</v>
      </c>
      <c r="V21" s="42"/>
      <c r="W21" s="41">
        <f t="shared" si="4"/>
        <v>1087800</v>
      </c>
      <c r="X21" s="44">
        <v>1087800</v>
      </c>
      <c r="Y21" s="37"/>
      <c r="Z21" s="34"/>
      <c r="AA21" s="37"/>
      <c r="AB21" s="45"/>
      <c r="AC21" s="45"/>
    </row>
    <row r="22" spans="1:30" ht="62.25" customHeight="1" x14ac:dyDescent="0.55000000000000004">
      <c r="A22" s="32">
        <v>15</v>
      </c>
      <c r="B22" s="33" t="s">
        <v>60</v>
      </c>
      <c r="C22" s="34" t="s">
        <v>30</v>
      </c>
      <c r="D22" s="35" t="s">
        <v>58</v>
      </c>
      <c r="E22" s="36"/>
      <c r="F22" s="37"/>
      <c r="G22" s="36"/>
      <c r="H22" s="29">
        <v>111</v>
      </c>
      <c r="I22" s="36">
        <v>440</v>
      </c>
      <c r="J22" s="37"/>
      <c r="K22" s="37"/>
      <c r="L22" s="37"/>
      <c r="M22" s="38"/>
      <c r="N22" s="37"/>
      <c r="O22" s="47"/>
      <c r="P22" s="48" t="s">
        <v>57</v>
      </c>
      <c r="Q22" s="41">
        <f>I22*2100</f>
        <v>924000</v>
      </c>
      <c r="R22" s="42"/>
      <c r="S22" s="43"/>
      <c r="T22" s="41"/>
      <c r="U22" s="44">
        <f t="shared" si="5"/>
        <v>924000</v>
      </c>
      <c r="V22" s="42"/>
      <c r="W22" s="41">
        <f t="shared" si="4"/>
        <v>924000</v>
      </c>
      <c r="X22" s="44">
        <v>924000</v>
      </c>
      <c r="Y22" s="37"/>
      <c r="Z22" s="34"/>
      <c r="AA22" s="37"/>
      <c r="AB22" s="45"/>
      <c r="AC22" s="45"/>
    </row>
    <row r="23" spans="1:30" ht="62.25" customHeight="1" x14ac:dyDescent="0.55000000000000004">
      <c r="A23" s="32">
        <v>16</v>
      </c>
      <c r="B23" s="33" t="s">
        <v>59</v>
      </c>
      <c r="C23" s="34" t="s">
        <v>30</v>
      </c>
      <c r="D23" s="35" t="s">
        <v>58</v>
      </c>
      <c r="E23" s="36"/>
      <c r="F23" s="37"/>
      <c r="G23" s="36"/>
      <c r="H23" s="29">
        <v>2</v>
      </c>
      <c r="I23" s="36">
        <v>9</v>
      </c>
      <c r="J23" s="37"/>
      <c r="K23" s="37"/>
      <c r="L23" s="37"/>
      <c r="M23" s="38"/>
      <c r="N23" s="37"/>
      <c r="O23" s="47"/>
      <c r="P23" s="48" t="s">
        <v>57</v>
      </c>
      <c r="Q23" s="41">
        <f>I23*2100</f>
        <v>18900</v>
      </c>
      <c r="R23" s="42"/>
      <c r="S23" s="43"/>
      <c r="T23" s="41"/>
      <c r="U23" s="44">
        <f t="shared" si="5"/>
        <v>18900</v>
      </c>
      <c r="V23" s="42"/>
      <c r="W23" s="41">
        <f t="shared" si="4"/>
        <v>18900</v>
      </c>
      <c r="X23" s="44">
        <v>18900</v>
      </c>
      <c r="Y23" s="37"/>
      <c r="Z23" s="34"/>
      <c r="AA23" s="37"/>
      <c r="AB23" s="45"/>
      <c r="AC23" s="45"/>
    </row>
    <row r="24" spans="1:30" s="23" customFormat="1" ht="45.75" customHeight="1" x14ac:dyDescent="0.55000000000000004">
      <c r="A24" s="14"/>
      <c r="B24" s="15" t="s">
        <v>76</v>
      </c>
      <c r="C24" s="16">
        <v>16</v>
      </c>
      <c r="D24" s="15"/>
      <c r="E24" s="17">
        <f>SUM(E6:E23)</f>
        <v>47</v>
      </c>
      <c r="F24" s="17"/>
      <c r="G24" s="17"/>
      <c r="H24" s="17">
        <f>SUM(H6:H23)</f>
        <v>11650</v>
      </c>
      <c r="I24" s="17">
        <f>SUM(I6:I23)</f>
        <v>50288</v>
      </c>
      <c r="J24" s="17"/>
      <c r="K24" s="17"/>
      <c r="L24" s="17"/>
      <c r="M24" s="17"/>
      <c r="N24" s="17">
        <f>SUM(N6:N23)</f>
        <v>1</v>
      </c>
      <c r="O24" s="18">
        <f>SUM(O6:O23)</f>
        <v>29.5</v>
      </c>
      <c r="P24" s="17"/>
      <c r="Q24" s="19">
        <f t="shared" ref="Q24:Y24" si="6">SUM(Q6:Q23)</f>
        <v>105604800</v>
      </c>
      <c r="R24" s="19">
        <f t="shared" si="6"/>
        <v>4800000</v>
      </c>
      <c r="S24" s="19">
        <f t="shared" si="6"/>
        <v>50000</v>
      </c>
      <c r="T24" s="19">
        <f t="shared" si="6"/>
        <v>47563060</v>
      </c>
      <c r="U24" s="19">
        <f t="shared" si="6"/>
        <v>158017860</v>
      </c>
      <c r="V24" s="19">
        <f t="shared" si="6"/>
        <v>2183690</v>
      </c>
      <c r="W24" s="19">
        <f t="shared" si="6"/>
        <v>160201550</v>
      </c>
      <c r="X24" s="19">
        <f t="shared" si="6"/>
        <v>157967860</v>
      </c>
      <c r="Y24" s="19">
        <f t="shared" si="6"/>
        <v>50000</v>
      </c>
      <c r="Z24" s="20"/>
      <c r="AA24" s="20"/>
      <c r="AB24" s="21"/>
      <c r="AC24" s="21"/>
      <c r="AD24" s="22"/>
    </row>
  </sheetData>
  <mergeCells count="38">
    <mergeCell ref="A1:AA1"/>
    <mergeCell ref="A2:A5"/>
    <mergeCell ref="B2:B5"/>
    <mergeCell ref="C2:C5"/>
    <mergeCell ref="D2:D5"/>
    <mergeCell ref="E2:G2"/>
    <mergeCell ref="H2:H5"/>
    <mergeCell ref="I2:I5"/>
    <mergeCell ref="J2:L2"/>
    <mergeCell ref="M2:M5"/>
    <mergeCell ref="X2:Z2"/>
    <mergeCell ref="AA2:AA5"/>
    <mergeCell ref="E3:E5"/>
    <mergeCell ref="F3:F5"/>
    <mergeCell ref="G3:G5"/>
    <mergeCell ref="J3:J5"/>
    <mergeCell ref="S3:S5"/>
    <mergeCell ref="T3:T5"/>
    <mergeCell ref="U3:U5"/>
    <mergeCell ref="K3:K5"/>
    <mergeCell ref="L3:L5"/>
    <mergeCell ref="Q3:Q5"/>
    <mergeCell ref="R3:R5"/>
    <mergeCell ref="N2:N5"/>
    <mergeCell ref="O2:O5"/>
    <mergeCell ref="P2:P5"/>
    <mergeCell ref="Q2:U2"/>
    <mergeCell ref="V2:V5"/>
    <mergeCell ref="W2:W5"/>
    <mergeCell ref="X3:X5"/>
    <mergeCell ref="Y3:Y5"/>
    <mergeCell ref="Z3:Z5"/>
    <mergeCell ref="A6:A7"/>
    <mergeCell ref="C6:C7"/>
    <mergeCell ref="D6:D7"/>
    <mergeCell ref="D17:D18"/>
    <mergeCell ref="C17:C18"/>
    <mergeCell ref="A17:A18"/>
  </mergeCells>
  <pageMargins left="0.2" right="0.2" top="0.75" bottom="0.25" header="0.3" footer="0.3"/>
  <pageSetup paperSize="9" scale="45" orientation="landscape" horizontalDpi="4294967294" r:id="rId1"/>
  <headerFooter differentFirst="1">
    <oddHeader>&amp;C&amp;"WinResearcher,A"&amp;16&amp;P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1year</vt:lpstr>
      <vt:lpstr>'1year'!Print_Titles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cp:lastPrinted>2026-09-16T08:31:41Z</cp:lastPrinted>
  <dcterms:created xsi:type="dcterms:W3CDTF">2018-04-05T15:00:54Z</dcterms:created>
  <dcterms:modified xsi:type="dcterms:W3CDTF">2026-09-16T09:34:00Z</dcterms:modified>
</cp:coreProperties>
</file>