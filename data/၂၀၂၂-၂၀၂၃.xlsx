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55" windowWidth="20415" windowHeight="7665" tabRatio="537"/>
  </bookViews>
  <sheets>
    <sheet name="2022April to 2023March (1 Year)" sheetId="126" r:id="rId1"/>
  </sheets>
  <definedNames>
    <definedName name="_xlnm.Print_Titles" localSheetId="0">'2022April to 2023March (1 Year)'!$2:$5</definedName>
  </definedNames>
  <calcPr calcId="144525"/>
</workbook>
</file>

<file path=xl/calcChain.xml><?xml version="1.0" encoding="utf-8"?>
<calcChain xmlns="http://schemas.openxmlformats.org/spreadsheetml/2006/main">
  <c r="X8" i="126" l="1"/>
  <c r="R8" i="126"/>
  <c r="I8" i="126"/>
  <c r="H8" i="126"/>
  <c r="F8" i="126"/>
  <c r="Q7" i="126"/>
  <c r="U7" i="126" s="1"/>
  <c r="O7" i="126"/>
  <c r="Q6" i="126"/>
  <c r="U6" i="126" s="1"/>
  <c r="O6" i="126"/>
  <c r="O8" i="126" l="1"/>
  <c r="U8" i="126"/>
  <c r="W6" i="126"/>
  <c r="W7" i="126"/>
  <c r="Q8" i="126"/>
  <c r="W8" i="126" l="1"/>
</calcChain>
</file>

<file path=xl/sharedStrings.xml><?xml version="1.0" encoding="utf-8"?>
<sst xmlns="http://schemas.openxmlformats.org/spreadsheetml/2006/main" count="41" uniqueCount="37">
  <si>
    <t>ဘေး</t>
  </si>
  <si>
    <t>အိမ်ခြေ</t>
  </si>
  <si>
    <t>စုစုပေါင်း</t>
  </si>
  <si>
    <t>ပြောင်း ရွှေ့</t>
  </si>
  <si>
    <t>ဘေးဖြစ်နေ့</t>
  </si>
  <si>
    <t>သေဆုံး/
ဒဏ်ရာရ</t>
  </si>
  <si>
    <t>သေဆုံး</t>
  </si>
  <si>
    <t>OA</t>
  </si>
  <si>
    <t>ငါး
ပြည်တွင်း</t>
  </si>
  <si>
    <t>အခြား</t>
  </si>
  <si>
    <t>ဘာသာရေးကျောင်း</t>
  </si>
  <si>
    <t>ရန်ပုံငွေ
ထောက်ပံ့နေ့</t>
  </si>
  <si>
    <t>ရန်ပုံငွေထောက်ပံ့မှုစာရင်း</t>
  </si>
  <si>
    <t>ထောက်ပံ့မှုငွေကျပ်စုစုပေါင်း</t>
  </si>
  <si>
    <t>ဆုံးရှုံးမှု
တန်ဖိုး
(ကျပ်သန်း)</t>
  </si>
  <si>
    <t>လုံး၀ ပျက်စီး</t>
  </si>
  <si>
    <t>တစ်စိတ်တစ်ပိုင်းပျက်စီး</t>
  </si>
  <si>
    <t>အိမ်
ထောင်
စု</t>
  </si>
  <si>
    <t>ဘေးသင့်
လူဦးရေ</t>
  </si>
  <si>
    <t>ဆန်ရိက္ခာ</t>
  </si>
  <si>
    <t>အိမ်/ကျောင်း ဆောက် ပစ္စည်း</t>
  </si>
  <si>
    <t>ရန်ပုံငွေ စုစုပေါင်း</t>
  </si>
  <si>
    <t>ကဆရ ပစ္စည်း</t>
  </si>
  <si>
    <t>(၀၅-၀၃)
ရန်ပုံငွေ</t>
  </si>
  <si>
    <t>မြို့နယ်/ရပ်ကွက်/
ကျေးရွာ</t>
  </si>
  <si>
    <t xml:space="preserve">ဒဏ် ရာရ </t>
  </si>
  <si>
    <t>.</t>
  </si>
  <si>
    <t>ရေ</t>
  </si>
  <si>
    <t>မှတ်ချက်</t>
  </si>
  <si>
    <t>သဲကုန်းမြို့နယ်၊ ညောင်
ကုန်းကျေးရွာအုပ်စု၊
ဇီးကုန်းကျေးရွာ</t>
  </si>
  <si>
    <t>၂၃.၇.၂၀၂၂</t>
  </si>
  <si>
    <t>၂၆.၇.၂၀၂၂</t>
  </si>
  <si>
    <t>ပြည်မြို့နယ်၊ ဝက်ထီးကန်
ကျေးရွာအုပ်စု၊ ကွက်သစ်
(၂)ရပ်ကွက်</t>
  </si>
  <si>
    <t>၂၇.၈.၂၀၂၂</t>
  </si>
  <si>
    <t>၂၉.၈.၂၀၂၂</t>
  </si>
  <si>
    <t>ဘေးအန္တရာယ်ဆိုင်ရာစီမံခန့်ခွဲမှုဦးစီးဌာန၊ ပဲခူးတိုင်းဒေသကြီးဦးစီးမှူးရုံး၊ ခရိုင်ဦးစီးမှူးရုံးများနှင့် မြို့နယ်ဦးစီးမှူးရုံးများမှ ဘေးဖြစ်ပွားမှုများအတွက်ထောက်ပံ့မှုစာရင်း
(၁.၄.၂၀၂၂)ရက်နေ့မှ (၃၁.၃.၂၀၂၃)ရက်နေ့အထိ</t>
  </si>
  <si>
    <t>ပဲခူးတိုင်းချုပ်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</si>
</sst>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000455]0"/>
    <numFmt numFmtId="166" formatCode="[$-10000455]0.00"/>
  </numFmts>
  <fonts count="8" x14ac:knownFonts="1">
    <font>
      <sz val="11"/>
      <color theme="1"/>
      <name val="Calibri"/>
      <family val="2"/>
      <scheme val="minor"/>
    </font>
    <font>
      <sz val="13"/>
      <name val="Pyidaungsu"/>
      <family val="2"/>
    </font>
    <font>
      <b/>
      <sz val="13"/>
      <name val="Pyidaungsu"/>
      <family val="2"/>
    </font>
    <font>
      <b/>
      <sz val="12"/>
      <name val="Pyidaungsu"/>
      <family val="2"/>
    </font>
    <font>
      <b/>
      <sz val="20"/>
      <name val="Pyidaungsu"/>
      <family val="2"/>
    </font>
    <font>
      <sz val="11"/>
      <name val="Pyidaungsu"/>
      <family val="2"/>
    </font>
    <font>
      <sz val="10"/>
      <name val="Pyidaungsu"/>
      <family val="2"/>
    </font>
    <font>
      <b/>
      <sz val="10"/>
      <name val="Pyidaungsu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164" fontId="1" fillId="0" borderId="2" xfId="0" applyNumberFormat="1" applyFont="1" applyFill="1" applyBorder="1" applyAlignment="1">
      <alignment horizontal="center" vertical="center"/>
    </xf>
    <xf numFmtId="164" fontId="1" fillId="0" borderId="2" xfId="0" quotePrefix="1" applyNumberFormat="1" applyFont="1" applyFill="1" applyBorder="1" applyAlignment="1">
      <alignment horizontal="center" vertical="center"/>
    </xf>
    <xf numFmtId="0" fontId="1" fillId="0" borderId="0" xfId="0" applyFont="1" applyFill="1"/>
    <xf numFmtId="164" fontId="1" fillId="0" borderId="2" xfId="0" quotePrefix="1" applyNumberFormat="1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vertical="center"/>
    </xf>
    <xf numFmtId="164" fontId="1" fillId="0" borderId="2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/>
    <xf numFmtId="0" fontId="1" fillId="0" borderId="2" xfId="0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4" fontId="2" fillId="0" borderId="2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2" xfId="0" quotePrefix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right" vertical="center"/>
    </xf>
    <xf numFmtId="164" fontId="2" fillId="0" borderId="2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6" fontId="1" fillId="0" borderId="2" xfId="0" quotePrefix="1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D8"/>
  <sheetViews>
    <sheetView tabSelected="1" zoomScale="70" zoomScaleNormal="7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N7" sqref="N7"/>
    </sheetView>
  </sheetViews>
  <sheetFormatPr defaultRowHeight="19.5" x14ac:dyDescent="0.5"/>
  <cols>
    <col min="1" max="1" width="6.42578125" style="10" customWidth="1"/>
    <col min="2" max="2" width="28.42578125" style="10" customWidth="1"/>
    <col min="3" max="3" width="9.140625" style="10" customWidth="1"/>
    <col min="4" max="4" width="13.42578125" style="10" customWidth="1"/>
    <col min="5" max="8" width="9.28515625" style="10" bestFit="1" customWidth="1"/>
    <col min="9" max="9" width="9.85546875" style="10" customWidth="1"/>
    <col min="10" max="12" width="9.28515625" style="10" bestFit="1" customWidth="1"/>
    <col min="13" max="13" width="6.85546875" style="10" customWidth="1"/>
    <col min="14" max="14" width="6.5703125" style="10" customWidth="1"/>
    <col min="15" max="15" width="13.85546875" style="10" customWidth="1"/>
    <col min="16" max="17" width="14.5703125" style="10" customWidth="1"/>
    <col min="18" max="18" width="16.140625" style="10" customWidth="1"/>
    <col min="19" max="19" width="14.140625" style="10" customWidth="1"/>
    <col min="20" max="20" width="14.85546875" style="10" customWidth="1"/>
    <col min="21" max="21" width="15.85546875" style="10" customWidth="1"/>
    <col min="22" max="22" width="13.7109375" style="10" customWidth="1"/>
    <col min="23" max="23" width="16.28515625" style="10" customWidth="1"/>
    <col min="24" max="24" width="15.28515625" style="10" customWidth="1"/>
    <col min="25" max="25" width="13.5703125" style="10" customWidth="1"/>
    <col min="26" max="26" width="5.7109375" style="10" customWidth="1"/>
    <col min="27" max="27" width="11.85546875" style="10" customWidth="1"/>
    <col min="28" max="28" width="16.28515625" style="10" customWidth="1"/>
    <col min="29" max="29" width="30.7109375" style="10" customWidth="1"/>
    <col min="30" max="30" width="16.85546875" style="10" customWidth="1"/>
    <col min="31" max="16384" width="9.140625" style="10"/>
  </cols>
  <sheetData>
    <row r="1" spans="1:30" s="5" customFormat="1" ht="86.25" customHeight="1" x14ac:dyDescent="0.55000000000000004">
      <c r="A1" s="35" t="s">
        <v>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30" s="5" customFormat="1" ht="29.25" customHeight="1" x14ac:dyDescent="0.55000000000000004">
      <c r="A2" s="31" t="s">
        <v>26</v>
      </c>
      <c r="B2" s="26" t="s">
        <v>24</v>
      </c>
      <c r="C2" s="31" t="s">
        <v>0</v>
      </c>
      <c r="D2" s="31" t="s">
        <v>4</v>
      </c>
      <c r="E2" s="37" t="s">
        <v>1</v>
      </c>
      <c r="F2" s="38"/>
      <c r="G2" s="39"/>
      <c r="H2" s="26" t="s">
        <v>17</v>
      </c>
      <c r="I2" s="26" t="s">
        <v>18</v>
      </c>
      <c r="J2" s="37" t="s">
        <v>10</v>
      </c>
      <c r="K2" s="38"/>
      <c r="L2" s="39"/>
      <c r="M2" s="26" t="s">
        <v>6</v>
      </c>
      <c r="N2" s="26" t="s">
        <v>25</v>
      </c>
      <c r="O2" s="32" t="s">
        <v>14</v>
      </c>
      <c r="P2" s="26" t="s">
        <v>11</v>
      </c>
      <c r="Q2" s="37" t="s">
        <v>12</v>
      </c>
      <c r="R2" s="38"/>
      <c r="S2" s="38"/>
      <c r="T2" s="38"/>
      <c r="U2" s="39"/>
      <c r="V2" s="26" t="s">
        <v>22</v>
      </c>
      <c r="W2" s="31" t="s">
        <v>2</v>
      </c>
      <c r="X2" s="40" t="s">
        <v>13</v>
      </c>
      <c r="Y2" s="40"/>
      <c r="Z2" s="40"/>
      <c r="AA2" s="32" t="s">
        <v>28</v>
      </c>
    </row>
    <row r="3" spans="1:30" s="5" customFormat="1" ht="49.5" customHeight="1" x14ac:dyDescent="0.55000000000000004">
      <c r="A3" s="29"/>
      <c r="B3" s="27"/>
      <c r="C3" s="29"/>
      <c r="D3" s="29"/>
      <c r="E3" s="26" t="s">
        <v>15</v>
      </c>
      <c r="F3" s="26" t="s">
        <v>16</v>
      </c>
      <c r="G3" s="26" t="s">
        <v>3</v>
      </c>
      <c r="H3" s="27"/>
      <c r="I3" s="27"/>
      <c r="J3" s="26" t="s">
        <v>15</v>
      </c>
      <c r="K3" s="26" t="s">
        <v>16</v>
      </c>
      <c r="L3" s="26" t="s">
        <v>3</v>
      </c>
      <c r="M3" s="27"/>
      <c r="N3" s="27"/>
      <c r="O3" s="33"/>
      <c r="P3" s="29"/>
      <c r="Q3" s="31" t="s">
        <v>19</v>
      </c>
      <c r="R3" s="26" t="s">
        <v>20</v>
      </c>
      <c r="S3" s="26" t="s">
        <v>5</v>
      </c>
      <c r="T3" s="31" t="s">
        <v>9</v>
      </c>
      <c r="U3" s="26" t="s">
        <v>21</v>
      </c>
      <c r="V3" s="27"/>
      <c r="W3" s="29"/>
      <c r="X3" s="26" t="s">
        <v>23</v>
      </c>
      <c r="Y3" s="26" t="s">
        <v>8</v>
      </c>
      <c r="Z3" s="31" t="s">
        <v>7</v>
      </c>
      <c r="AA3" s="41"/>
    </row>
    <row r="4" spans="1:30" s="5" customFormat="1" ht="14.25" customHeight="1" x14ac:dyDescent="0.55000000000000004">
      <c r="A4" s="29"/>
      <c r="B4" s="27"/>
      <c r="C4" s="29"/>
      <c r="D4" s="29"/>
      <c r="E4" s="27"/>
      <c r="F4" s="27"/>
      <c r="G4" s="27"/>
      <c r="H4" s="27"/>
      <c r="I4" s="27"/>
      <c r="J4" s="27"/>
      <c r="K4" s="27"/>
      <c r="L4" s="27"/>
      <c r="M4" s="27"/>
      <c r="N4" s="27"/>
      <c r="O4" s="33"/>
      <c r="P4" s="29"/>
      <c r="Q4" s="29"/>
      <c r="R4" s="27"/>
      <c r="S4" s="27"/>
      <c r="T4" s="29"/>
      <c r="U4" s="27"/>
      <c r="V4" s="27"/>
      <c r="W4" s="29"/>
      <c r="X4" s="27"/>
      <c r="Y4" s="27"/>
      <c r="Z4" s="29"/>
      <c r="AA4" s="41"/>
    </row>
    <row r="5" spans="1:30" s="5" customFormat="1" ht="28.5" customHeight="1" x14ac:dyDescent="0.55000000000000004">
      <c r="A5" s="30"/>
      <c r="B5" s="28"/>
      <c r="C5" s="30"/>
      <c r="D5" s="30"/>
      <c r="E5" s="28"/>
      <c r="F5" s="28"/>
      <c r="G5" s="28"/>
      <c r="H5" s="28"/>
      <c r="I5" s="28"/>
      <c r="J5" s="28"/>
      <c r="K5" s="28"/>
      <c r="L5" s="28"/>
      <c r="M5" s="28"/>
      <c r="N5" s="28"/>
      <c r="O5" s="34"/>
      <c r="P5" s="30"/>
      <c r="Q5" s="30"/>
      <c r="R5" s="28"/>
      <c r="S5" s="28"/>
      <c r="T5" s="30"/>
      <c r="U5" s="28"/>
      <c r="V5" s="28"/>
      <c r="W5" s="30"/>
      <c r="X5" s="28"/>
      <c r="Y5" s="28"/>
      <c r="Z5" s="30"/>
      <c r="AA5" s="42"/>
    </row>
    <row r="6" spans="1:30" s="9" customFormat="1" ht="84.75" customHeight="1" x14ac:dyDescent="0.25">
      <c r="A6" s="1">
        <v>1</v>
      </c>
      <c r="B6" s="2" t="s">
        <v>29</v>
      </c>
      <c r="C6" s="11" t="s">
        <v>27</v>
      </c>
      <c r="D6" s="4" t="s">
        <v>30</v>
      </c>
      <c r="E6" s="3"/>
      <c r="F6" s="3">
        <v>2</v>
      </c>
      <c r="G6" s="3"/>
      <c r="H6" s="3">
        <v>2</v>
      </c>
      <c r="I6" s="3">
        <v>8</v>
      </c>
      <c r="J6" s="3"/>
      <c r="K6" s="3"/>
      <c r="L6" s="3"/>
      <c r="M6" s="3"/>
      <c r="N6" s="3"/>
      <c r="O6" s="23">
        <f>300000/1000000</f>
        <v>0.3</v>
      </c>
      <c r="P6" s="6" t="s">
        <v>31</v>
      </c>
      <c r="Q6" s="7">
        <f>I6*2100</f>
        <v>16800</v>
      </c>
      <c r="R6" s="7">
        <v>80000</v>
      </c>
      <c r="S6" s="7"/>
      <c r="T6" s="7"/>
      <c r="U6" s="22">
        <f t="shared" ref="U6:U7" si="0">SUM(Q6:T6)</f>
        <v>96800</v>
      </c>
      <c r="V6" s="7"/>
      <c r="W6" s="13">
        <f>SUM(U6:V6)</f>
        <v>96800</v>
      </c>
      <c r="X6" s="7">
        <v>96800</v>
      </c>
      <c r="Y6" s="8"/>
      <c r="Z6" s="7"/>
      <c r="AA6" s="20"/>
      <c r="AC6" s="12"/>
      <c r="AD6" s="12"/>
    </row>
    <row r="7" spans="1:30" s="9" customFormat="1" ht="84.75" customHeight="1" x14ac:dyDescent="0.25">
      <c r="A7" s="1">
        <v>2</v>
      </c>
      <c r="B7" s="2" t="s">
        <v>32</v>
      </c>
      <c r="C7" s="11" t="s">
        <v>27</v>
      </c>
      <c r="D7" s="4" t="s">
        <v>33</v>
      </c>
      <c r="E7" s="3"/>
      <c r="F7" s="3">
        <v>1</v>
      </c>
      <c r="G7" s="3"/>
      <c r="H7" s="3">
        <v>23</v>
      </c>
      <c r="I7" s="3">
        <v>80</v>
      </c>
      <c r="J7" s="3"/>
      <c r="K7" s="3"/>
      <c r="L7" s="3"/>
      <c r="M7" s="3"/>
      <c r="N7" s="3"/>
      <c r="O7" s="25">
        <f>600000/1000000</f>
        <v>0.6</v>
      </c>
      <c r="P7" s="6" t="s">
        <v>34</v>
      </c>
      <c r="Q7" s="7">
        <f>I7*2100</f>
        <v>168000</v>
      </c>
      <c r="R7" s="7">
        <v>50000</v>
      </c>
      <c r="S7" s="7"/>
      <c r="T7" s="7"/>
      <c r="U7" s="22">
        <f t="shared" si="0"/>
        <v>218000</v>
      </c>
      <c r="V7" s="7"/>
      <c r="W7" s="13">
        <f>SUM(U7:V7)</f>
        <v>218000</v>
      </c>
      <c r="X7" s="7">
        <v>218000</v>
      </c>
      <c r="Y7" s="8"/>
      <c r="Z7" s="7"/>
      <c r="AA7" s="20"/>
      <c r="AC7" s="12"/>
      <c r="AD7" s="12"/>
    </row>
    <row r="8" spans="1:30" s="19" customFormat="1" ht="51.75" customHeight="1" x14ac:dyDescent="0.25">
      <c r="A8" s="14"/>
      <c r="B8" s="15" t="s">
        <v>36</v>
      </c>
      <c r="C8" s="16">
        <v>2</v>
      </c>
      <c r="D8" s="17"/>
      <c r="E8" s="16"/>
      <c r="F8" s="16">
        <f>SUM(F6:F7)</f>
        <v>3</v>
      </c>
      <c r="G8" s="16"/>
      <c r="H8" s="16">
        <f t="shared" ref="H8:X8" si="1">SUM(H6:H7)</f>
        <v>25</v>
      </c>
      <c r="I8" s="16">
        <f t="shared" si="1"/>
        <v>88</v>
      </c>
      <c r="J8" s="16"/>
      <c r="K8" s="16"/>
      <c r="L8" s="16"/>
      <c r="M8" s="16"/>
      <c r="N8" s="16"/>
      <c r="O8" s="24">
        <f t="shared" si="1"/>
        <v>0.89999999999999991</v>
      </c>
      <c r="P8" s="16"/>
      <c r="Q8" s="21">
        <f t="shared" si="1"/>
        <v>184800</v>
      </c>
      <c r="R8" s="21">
        <f t="shared" si="1"/>
        <v>130000</v>
      </c>
      <c r="S8" s="21"/>
      <c r="T8" s="21"/>
      <c r="U8" s="21">
        <f t="shared" si="1"/>
        <v>314800</v>
      </c>
      <c r="V8" s="21"/>
      <c r="W8" s="21">
        <f t="shared" si="1"/>
        <v>314800</v>
      </c>
      <c r="X8" s="21">
        <f t="shared" si="1"/>
        <v>314800</v>
      </c>
      <c r="Y8" s="16"/>
      <c r="Z8" s="16"/>
      <c r="AA8" s="18"/>
      <c r="AC8" s="12"/>
      <c r="AD8" s="12"/>
    </row>
  </sheetData>
  <mergeCells count="32">
    <mergeCell ref="AA2:AA5"/>
    <mergeCell ref="E3:E5"/>
    <mergeCell ref="F3:F5"/>
    <mergeCell ref="G3:G5"/>
    <mergeCell ref="J3:J5"/>
    <mergeCell ref="K3:K5"/>
    <mergeCell ref="L3:L5"/>
    <mergeCell ref="Q3:Q5"/>
    <mergeCell ref="R3:R5"/>
    <mergeCell ref="N2:N5"/>
    <mergeCell ref="O2:O5"/>
    <mergeCell ref="P2:P5"/>
    <mergeCell ref="Q2:U2"/>
    <mergeCell ref="V2:V5"/>
    <mergeCell ref="W2:W5"/>
    <mergeCell ref="X3:X5"/>
    <mergeCell ref="A1:Z1"/>
    <mergeCell ref="A2:A5"/>
    <mergeCell ref="B2:B5"/>
    <mergeCell ref="C2:C5"/>
    <mergeCell ref="D2:D5"/>
    <mergeCell ref="E2:G2"/>
    <mergeCell ref="H2:H5"/>
    <mergeCell ref="I2:I5"/>
    <mergeCell ref="J2:L2"/>
    <mergeCell ref="M2:M5"/>
    <mergeCell ref="X2:Z2"/>
    <mergeCell ref="Y3:Y5"/>
    <mergeCell ref="Z3:Z5"/>
    <mergeCell ref="S3:S5"/>
    <mergeCell ref="T3:T5"/>
    <mergeCell ref="U3:U5"/>
  </mergeCells>
  <pageMargins left="0.45" right="0.2" top="0.75" bottom="0.25" header="0.3" footer="0.3"/>
  <pageSetup paperSize="9" scale="43" orientation="landscape" horizontalDpi="4294967293" r:id="rId1"/>
  <headerFooter differentFirst="1">
    <oddHeader>&amp;C&amp;"Metrix-1,Regular"&amp;20&amp;P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2022April to 2023March (1 Year)</vt:lpstr>
      <vt:lpstr>'2022April to 2023March (1 Year)'!Print_Titles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2026-09-16T09:25:00Z</cp:lastPrinted>
  <dcterms:created xsi:type="dcterms:W3CDTF">2018-04-05T15:00:54Z</dcterms:created>
  <dcterms:modified xsi:type="dcterms:W3CDTF">2026-09-16T09:33:19Z</dcterms:modified>
</cp:coreProperties>
</file>