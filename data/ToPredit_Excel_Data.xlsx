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_5@ProjectData\"/>
    </mc:Choice>
  </mc:AlternateContent>
  <xr:revisionPtr revIDLastSave="0" documentId="8_{57B71CF4-11E9-4637-B3CA-D134C34A6782}" xr6:coauthVersionLast="47" xr6:coauthVersionMax="47" xr10:uidLastSave="{00000000-0000-0000-0000-000000000000}"/>
  <bookViews>
    <workbookView xWindow="11835" yWindow="0" windowWidth="16035" windowHeight="15600" xr2:uid="{1091D489-4579-4946-9EDA-CBBC05C1D9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4" i="1" l="1"/>
  <c r="K104" i="1"/>
  <c r="J104" i="1"/>
  <c r="I104" i="1"/>
  <c r="H104" i="1"/>
  <c r="F104" i="1"/>
  <c r="E104" i="1"/>
  <c r="M103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104" i="1" l="1"/>
  <c r="L84" i="1" l="1"/>
  <c r="K84" i="1"/>
  <c r="J84" i="1"/>
  <c r="I84" i="1"/>
  <c r="H84" i="1"/>
  <c r="G84" i="1"/>
  <c r="F84" i="1"/>
  <c r="E84" i="1"/>
  <c r="M83" i="1"/>
  <c r="M81" i="1"/>
  <c r="M75" i="1"/>
  <c r="M74" i="1"/>
  <c r="M73" i="1"/>
  <c r="M71" i="1"/>
  <c r="M70" i="1"/>
  <c r="M69" i="1"/>
  <c r="M68" i="1"/>
  <c r="M66" i="1"/>
  <c r="M65" i="1"/>
  <c r="M62" i="1"/>
  <c r="M61" i="1"/>
  <c r="M60" i="1"/>
  <c r="M59" i="1"/>
  <c r="M58" i="1"/>
  <c r="M57" i="1"/>
  <c r="M56" i="1"/>
  <c r="M55" i="1"/>
  <c r="M54" i="1"/>
  <c r="M51" i="1"/>
  <c r="M50" i="1"/>
  <c r="M49" i="1"/>
  <c r="M48" i="1"/>
  <c r="M46" i="1"/>
  <c r="I41" i="1" l="1"/>
  <c r="H41" i="1"/>
  <c r="E41" i="1"/>
  <c r="F21" i="1"/>
  <c r="I21" i="1"/>
  <c r="H21" i="1"/>
  <c r="H17" i="1"/>
  <c r="G17" i="1"/>
  <c r="F17" i="1"/>
  <c r="D17" i="1"/>
</calcChain>
</file>

<file path=xl/sharedStrings.xml><?xml version="1.0" encoding="utf-8"?>
<sst xmlns="http://schemas.openxmlformats.org/spreadsheetml/2006/main" count="279" uniqueCount="167">
  <si>
    <t>စဉ်</t>
  </si>
  <si>
    <t>မြို့နယ်/ရပ်ကွက်/ ကျေးရွာ</t>
  </si>
  <si>
    <t>ဘေး</t>
  </si>
  <si>
    <t xml:space="preserve">​ဘေးဖြစ်နေ့ </t>
  </si>
  <si>
    <t>အိမ်ခြေ</t>
  </si>
  <si>
    <t>အိမ် ထောင်စု</t>
  </si>
  <si>
    <t>ဘေးသင့်လူဦးရေ</t>
  </si>
  <si>
    <t>လုံး၀ ပျက်စီး</t>
  </si>
  <si>
    <t>တစ်စိတ်တစ်ပိုင်း ပျက်စီး</t>
  </si>
  <si>
    <t>ပြောင်း
ရွှေ့</t>
  </si>
  <si>
    <t>၁၈နှစ်အထက်</t>
  </si>
  <si>
    <t>၁၈နှစ်အောက်</t>
  </si>
  <si>
    <t>ပေါင်း</t>
  </si>
  <si>
    <t>ကျား</t>
  </si>
  <si>
    <t>မ</t>
  </si>
  <si>
    <t>ဘေးအန္တရာယ်ဆိုင်ရာစီမံခန့်ခွဲမှုဦးစီးဌာန၊ ပဲခူးတိုင်းဒေသကြီးဦးစီးမှူးရုံး၊ ခရိုင်ဦးစီးမှူးရုံးများနှင့် မြို့နယ်ဦးစီးမှူးရုံးများမှ  ဘေးဖြစ်ပွားမှုများအတွက် ထောက်ပံ့မှုစာရင်း</t>
  </si>
  <si>
    <t>ပဲခူးမြို့နယ်၊
ဘုရားကြီးမြို့၊
ဘုရားကြီး(၁)
ရပ်ကွက်</t>
  </si>
  <si>
    <t>ရေ</t>
  </si>
  <si>
    <t>ပဲခူးမြို့နယ်၊
ဇိုင်းဂနိုင်းတောင်
ပိုင်းရပ်ကွက်၊
ဖောင်တော်ဦး
ကွက်သစ်(၅)လမ်း</t>
  </si>
  <si>
    <t>ရွှေတောင်မြို့နယ်၊
ယွန်းတန်းရပ်ကွက်</t>
  </si>
  <si>
    <t>မိုးညိုမြို့နယ်၊
ရေကင်းအုပ်စု၊
အင်းတ္တော်လုပ်
အုပ်စု</t>
  </si>
  <si>
    <t>ပန်းတောင်းမြို့
နယ်၊ ထုံးဘို
ကျေးရွာအုပ်စု၊
ခတ္တိယကျေးရွာ</t>
  </si>
  <si>
    <t>ရွှေတောင်မြို့နယ်၊
ကြာနီကန်ရပ်
ကွက်၊ ယွန်းတန်း
ရပ်ကွက်၊ ရှားပင်
ကုန်းအုပ်စု</t>
  </si>
  <si>
    <t>မိုးညိုမြို့နယ်၊
စံပါယ်မျှောင်
ကျေးရွာအုပ်စု၊
စိန်တိုင်ကျေးရွာ</t>
  </si>
  <si>
    <t>ပဲခူးမြို့နယ်၊
ဇိုင်းဂနိုင်း
တောင်ပိုင်း
ရပ်ကွက်</t>
  </si>
  <si>
    <t>ရေဘေး
စုစုပေါင်း</t>
  </si>
  <si>
    <t>(၁၁)
ကြိမ်</t>
  </si>
  <si>
    <t>သဲကုန်းမြို့နယ်၊ ညောင်
ကုန်းကျေးရွာအုပ်စု၊
ဇီးကုန်းကျေးရွာ</t>
  </si>
  <si>
    <t>၂၃.၇.၂၀၂၂</t>
  </si>
  <si>
    <t>ပြည်မြို့နယ်၊ ဝက်ထီးကန်
ကျေးရွာအုပ်စု၊ ကွက်သစ်
(၂)ရပ်ကွက်</t>
  </si>
  <si>
    <t>၂၇.၈.၂၀၂၂</t>
  </si>
  <si>
    <t>ပဲခူးတိုင်းချုပ်</t>
  </si>
  <si>
    <t>(2)
 ကြိမ်</t>
  </si>
  <si>
    <t>ဘေးသင့်
လူဦးရေ</t>
  </si>
  <si>
    <t>ပဲခူးမြို့နယ်၊ ရပ်ကွက်(၁၃) ရပ်ကွက်၊ ကျေးရွာအုပ်စု(၈)စု</t>
  </si>
  <si>
    <t>၈.၈.၂၀၂၃
၁၃.၈.၂၀၂၃</t>
  </si>
  <si>
    <t>ပဲခူးမြို့နယ်၊ရပ်ကွက်(၂) ရပ်ကွက်၊ကျေးရွာအုပ်စု(၁)အုပ်စု</t>
  </si>
  <si>
    <t>ရွှေကျင်မြို့နယ်၊ ရပ်ကွက်(၂)
ရပ်ကွက်၊ အုပ်စု(၁)အုပ်စု</t>
  </si>
  <si>
    <t>၈.၈.၂၀၂၃
၉.၈.၂၀၂၃</t>
  </si>
  <si>
    <t>သနပ်ပင်မြို့နယ်၊ တာဝရေတံခါးကျေးရွာအုပ်စု၊ တာဝရေတံခါးကျေးရွာ</t>
  </si>
  <si>
    <t>၁၁.၈.၂၀၂၃</t>
  </si>
  <si>
    <t>တောင်ငူမြို့နယ်၊ အမှတ်(၂၂) ရပ်ကွက်၊ ပန်းဘဲလမ်း</t>
  </si>
  <si>
    <t>၁၃.၈.၂၀၂၃</t>
  </si>
  <si>
    <t>ပန်းတောင်းမြို့နယ်၊ (ဆင်တဲ၊
ထုံးဘို၊ ရွာသာယာ၊ ရေလည်
ကျွန်း)အုပ်စုနှင့် ဖောင်းကန်
ရပ်ကွက်</t>
  </si>
  <si>
    <t>၅.၉.၂၀၂၃
မှ
၉.၉.၂၀၂၃
ထိ</t>
  </si>
  <si>
    <t>ရွှေတောင်မြို့နယ်၊ ယွန်းတန်း
ရပ်ကွက်၊ ကြာနီကန်ရပ်ကွက်၊
မင်းတဲကျွန်းကျေးရွာအုပ်စု</t>
  </si>
  <si>
    <t>၆.၉.၂၀၂၃
မှ
၈.၉.၂၀၂၃</t>
  </si>
  <si>
    <t>မိုးညိုမြို့နယ်၊ ဖလံချောင်း
ကျေးရွာအုပ်စု၊ ဖလံချောင်း
ကျေးရွာ</t>
  </si>
  <si>
    <t>၆.၉.၂၀၂၃</t>
  </si>
  <si>
    <t>ပြည်မြို့နယ်၊ နဝင်းရပ်ကွက်၊
ဖိုးခေါင်အပိုင်း(၂)</t>
  </si>
  <si>
    <t>၇.၉.၂၀၂၃</t>
  </si>
  <si>
    <t>မိုးညိုမြို့နယ်၊ လက်ပံခုံ
ကျေးရွာအုပ်စု၊ လက်ပံခုံကျေးရွာ</t>
  </si>
  <si>
    <t>၉.၉.၂၀၂၃</t>
  </si>
  <si>
    <t>ဇီးကုန်းမြို့နယ်၊ သရပ်တပင်
ကျေးရွာအုပ်စု၊ အုတ်ဖိုစု
ကျေးရွာ</t>
  </si>
  <si>
    <t>၃၀.၉.၂၀၂၃</t>
  </si>
  <si>
    <t>ပဲခူးမြို့နယ်၊ ရပ်ကွက်(၁၅) ရပ်ကွက်၊ ကျေးရွာအုပ်စု(၁၂)စု</t>
  </si>
  <si>
    <t>၈.၁၀.၂၀၂၃
၁၀.၁၀.၂၀၂၃</t>
  </si>
  <si>
    <t>ပဲခူးမြို့နယ်၊ရပ်ကွက်(၇)ရပ်ကွက်၊ ကျေးရွာအုပ်စု (၁)အုပ်စု</t>
  </si>
  <si>
    <t>သနပ်ပင်မြို့နယ်၊ ရပ်ကွက်(၂)
ရပ်ကွက်၊ ကျေးရွာအုပ်စု(၅)
အုပ်စု</t>
  </si>
  <si>
    <t>၁၀.၁၀.၂၀၂၃</t>
  </si>
  <si>
    <t>ကဝမြို့နယ်၊ နဘဲပင်ကျေးရွာ
အုပ်စု၊ ကျေးရွာ(၃)ရွာ</t>
  </si>
  <si>
    <t>ဝေါမြို့နယ်၊ ရပ်ကွက်(၃)
ရပ်ကွက်၊ ကျေးရွာအုပ်စု(၂)
အုပ်စု</t>
  </si>
  <si>
    <t>၁၂.၁၀.၂၀၂၃</t>
  </si>
  <si>
    <t>တောင်ငူမြို့နယ်၊ အနောက်ဆင်
ကျေးရွာအုပ်စု၊ အမှတ်(၉)
ရပ်ကွက်</t>
  </si>
  <si>
    <t>၁၃.၁၀.၂၀၂၃</t>
  </si>
  <si>
    <t>ရေတာရှည်မြို့နယ်၊ 
ကြာအင်းကုန်းကျေးရွာအုပ်စု</t>
  </si>
  <si>
    <t>ရွှေတောင်မြို့၊ရပ်ကွက်
(၃)ခု၊အုပ်စု(၁၂)စု၊ ရေဘေးရှောင်စခန်း(၂၃)ခု</t>
  </si>
  <si>
    <t>‌ရေ</t>
  </si>
  <si>
    <t>ပန်းတောင်းမြို့၊ရပ်ကွက် (၃)ခု၊အုပ်စု(၆)စု၊ရေဘေး
ရှောင်စခန်း(၁၂)ခု</t>
  </si>
  <si>
    <t>ပြည်မြို့၊ ရပ်ကွက်(၂)ခု၊ အုပ်စု(၂)စု၊ရေဘေးရှောင် စခန်း(၇)ခု</t>
  </si>
  <si>
    <t>မိုးညိုမြို့နယ်၊ကျေးရွာ
(၄၂)ရွာ,ရေဘေးရှောင် စခန်း(၃၀)ခု</t>
  </si>
  <si>
    <t>မိုးညိုမြို့နယ်၊ ကျေးရွာ(၁၃)ရွာ</t>
  </si>
  <si>
    <t>အုတ်ဖို၊မြို့နယ်၊ကျေးရွာ
(၂)အုပ်စု၊ ကျေးရွာ(၂)ရွာ</t>
  </si>
  <si>
    <t>မင်းလှမြို့နယ်၊ ကျေးရွာအုပ်စု(၃)အုပ်စု၊
ကျေးရွာ(၅)ရွာ၊ရေဘေး ရှောင်စခန်း(၃)ခု</t>
  </si>
  <si>
    <t>သာယာဝတီမြို့နယ်၊   ကျေးရွာအုပ်စု(၃)အုပ်စု၊ ကျေးရွာ(၄)ရွာ၊ရေဘေး ရှောင်စခန်း(၄)ခု</t>
  </si>
  <si>
    <t>ရွှေကျင်မြို့နယ်၊ ရေဘေးရှောင် စခန်း(၁၇)ခု</t>
  </si>
  <si>
    <t>၂၅-၇-၂၀၂၄</t>
  </si>
  <si>
    <t>၂၈-၇-၂၀၂၄</t>
  </si>
  <si>
    <t>ဒိုက်ဦးမြို့နယ်၊ ရပ်ကွက် (၉)ခု၊ ကျေးရွာ(၁၀)ရွာ၊ ရေဘေးရှောင် စခန်း(၆)ခု</t>
  </si>
  <si>
    <t>၂၆.၇.၂၀၂၄</t>
  </si>
  <si>
    <t>ပဲခူးမြို့နယ်၊ ရပ်ကွက် (၁၄)ခု၊ ကျေးရွာ(၇)ရွာ ရေဘေး ရှောင်စခန်း(၃၅)ခု</t>
  </si>
  <si>
    <t>၂၈.၇.၂၀၂၄</t>
  </si>
  <si>
    <t>ကျောက်တံခါးမြို့နယ်၊ ကြာအင်းကုန်းကျေးရွာအုပ်စု၊ မိချောင်းအိုင်ကျေးရွာ</t>
  </si>
  <si>
    <t>သနပ်ပင်မြို့နယ်၊ တာဝရေတံခါးကျေးရွာ၊
ရေဘေးရှောင်စခန်း(၁)ခု</t>
  </si>
  <si>
    <t>၃၁-၇-၂၀၂၄</t>
  </si>
  <si>
    <t>မိုးညိုမြို့နယ်၊ အုပ်စု(၄)စု၊ 
ကျေးရွာ(၇)ရွာ</t>
  </si>
  <si>
    <t>၃၁-၇-၂၀၂၄မှ
'၃-၈-၂၀၂၄ထိ</t>
  </si>
  <si>
    <t>ဒိုက်ဦးမြို့နယ်၊ သုံးခွကျေးရွာ</t>
  </si>
  <si>
    <t xml:space="preserve">ရွှေကျင်မြို့နယ်၊ အနောက်ဘက်ကျေးရွာ
အုပ်စု၊ ပွဲကုန်းရပ်ကွက်၊ </t>
  </si>
  <si>
    <t>၂၉-၇-၂၀၂၄</t>
  </si>
  <si>
    <t>ဝေါမြို့နယ်၊ အုပ်စု(၃)စု၊ ကျေးရွာ(၄)ရွာ၊ ရပ်ကွက်(၃)ရပ်ကွက်</t>
  </si>
  <si>
    <t>၂၇-၇-၂၀၂၄မှ
'၂-၈-၂၀၂၄ထိ</t>
  </si>
  <si>
    <t xml:space="preserve">သနပ်ပင်မြို့နယ်၊အုပ်စု(၂)စု၊ ရပ်ကွက်(၄)ရပ်ကွက် </t>
  </si>
  <si>
    <t>၃၀-၇-၂၀၂၄မှ
'၄-၈-၂၀၂၄ထိ</t>
  </si>
  <si>
    <t>ကဝမြို့နယ်၊ သက္ကလမြို့၊ အုပ်စု(၃)စု၊ ကျေးရွာ(၆)ရွာ</t>
  </si>
  <si>
    <t>ပြည်မြို့၊ နဝဒေးရပ်ကွက်၊ ကန်သုံးဆင့်ရွာ</t>
  </si>
  <si>
    <t>၂၆-၈-၂၀၂၄</t>
  </si>
  <si>
    <t>ပဲခူးမြို့နယ်၊ ရပ်ကွက်
(၁၄)ခု၊ ကျေးရွာ(၇)ရွာ</t>
  </si>
  <si>
    <t>ပဲခူးမြို့နယ်၊ မုက္ကလကျေးရွာ</t>
  </si>
  <si>
    <t>၁-၈-၂၀၂၄</t>
  </si>
  <si>
    <t>တောင်ငူမြို့နယ်၊စစ်တောင်း မြစ်ဘေးတစ်လျှောက် အနိမ့်ပိုင်းရပ်ကွက်/
ကျေးရွာများ</t>
  </si>
  <si>
    <t>ရေတာရှည်မြို့နယ်၊ ဝဲဒေါင့်ကျေးရွာအုပ်စု၊ ကျေးရွာ(၃)ရွာ</t>
  </si>
  <si>
    <t>၂၈-၈-၂၀၂၄</t>
  </si>
  <si>
    <t>တောင်ငူမြို့နယ်၊စစ်တောင်း  ဘေးတစ်လျှောက်အနိမ့်ပိုင်း ရပ်ကွက်/ကျေးရွာများ</t>
  </si>
  <si>
    <t>၃၀-၈-၂၀၂၄</t>
  </si>
  <si>
    <t>ပန်းတောင်းမြို့နယ်၊ ဖရုံကာကျေးရွာအုပ်စု၊ မသုံကျေးရွာ</t>
  </si>
  <si>
    <t>၁၂-၉-၂၀၂၄</t>
  </si>
  <si>
    <t>ပြည်ခရိုင်၊ ရွှေတောင်မြို့နယ်၊ မင်းကွန်းကျေးရွာအုပ်စု၊ လက်ခုပ်တန်းရွာ</t>
  </si>
  <si>
    <t xml:space="preserve">၂၇-၇-၂၀၂၄
</t>
  </si>
  <si>
    <t>ပြည်မြို့၊ ဆင်စုရပ်ကွက်၊ မိချောင်းရပ်၊ ချင်းစုရွာ</t>
  </si>
  <si>
    <t>ပန်းတောင်းမြို့နယ်၊ ရပ်ကွက်/ကျေးရွာများ</t>
  </si>
  <si>
    <t>၁၃-၉-၂၀၂၄</t>
  </si>
  <si>
    <t>ဒိုက်ဦးမြို့နယ်၊ သုံးခွကျေးရွာအုပ်စု၊ သုံးခွကျေးရွာ</t>
  </si>
  <si>
    <t>ရွှေကျင်မြို့နယ်၊ ရပ်ကွက်/ကျေးရွာအုပ်စု(၆)ခု</t>
  </si>
  <si>
    <t>၁၄-၉-၂၀၂၄</t>
  </si>
  <si>
    <t>ရွှေကျင်မြို့နယ်၊ ရပ်ကွက်/ကျေးရွာအုပ်စု(၄)ခု</t>
  </si>
  <si>
    <t>၁၉-၉-၂၀၂၄</t>
  </si>
  <si>
    <t>တောင်ငူမြို့နယ် စစ်တောင်းမြစ်ဘေးတစ်
လျှောက်ရပ်ကွက်/
ကျေးရွာများ</t>
  </si>
  <si>
    <t>ရေတာရှည်မြို့နယ်၊ ရပ်ကွက်/ကျေးရွာများ</t>
  </si>
  <si>
    <t>အုတ်တွင်းမြို့နယ်၊ ရပ်ကွက်ကျေးရွာများ</t>
  </si>
  <si>
    <t>ဖြူးမြို့နယ်၊ ရပ်ကွက်/ကျေးရွာများ</t>
  </si>
  <si>
    <t>၁၅-၉-၂၀၂၄</t>
  </si>
  <si>
    <t>ထန်းတပင်မြို့နယ်၊ စပါးကျီကျေးရွာအုပ်စု၊ ဂွေးကုန်းကျေးရွာ</t>
  </si>
  <si>
    <t>ထန်းတပင်မြို့နယ်အတွင်း ရပ်ကွက်/ကျေးရွာများ</t>
  </si>
  <si>
    <t>၁၀-၉-၂၀၂၄</t>
  </si>
  <si>
    <t>တောင်ငူမြို့နယ် စစ်တောင်းမြစ်ဘေး
တစ်လျှောက်ရပ်ကွက်/
ကျေးရွာများ</t>
  </si>
  <si>
    <t>အုတ်တွင်းမြို့နယ်၊ အုန်းပင်ကျေးရွာအုပ်စု၊ အုန်းပင်ကျေးရွာ</t>
  </si>
  <si>
    <t>(၁၂.၇.၂၀၂၄)မှ
 (၃၁.၇.၂၀၂၄)ထိ</t>
  </si>
  <si>
    <t>(၁၂.၇.၂၀၂၄)မှ
 (၃၀.၇.၂၀၂၄)ထိ</t>
  </si>
  <si>
    <t>(၁၃.၇.၂၀၂၄)မှ
 ၈.၇.၂၀၂၄)ထိ</t>
  </si>
  <si>
    <t>(၁၄.၇.၂၀၂၄)မှ
 ၁.၇.၂၀၂၄)ထိ</t>
  </si>
  <si>
    <t>(၁၅.၇.၂၀၂၄)မှ
 (၃၀.၇.၂၀၂၄)ထိ</t>
  </si>
  <si>
    <t>(၂၃.၇.၂၀၂၄)မှ
 ၂၇.၇.၂၀၂၄)ထိ</t>
  </si>
  <si>
    <t>(၂၄.၇.၂၀၂၄)မှ
 ၂၇.၇.၂၀၂၄)ထိ</t>
  </si>
  <si>
    <t>(၂၈.၇.၂၀၂၄)မှ
 (၃၀.၇.၂၀၂၄)ထိ</t>
  </si>
  <si>
    <t>၁-၈-၂၀၂၄မှ
၈-၈-၂၀၂၄ထိ</t>
  </si>
  <si>
    <t xml:space="preserve">၂၈-၈-၂၀၂၄မှ
၂၉-၈-၂၀၂၄ထိ
</t>
  </si>
  <si>
    <t>၁၁-၉-၂၀၂၄
၂၉-၉-၂၀၂၄</t>
  </si>
  <si>
    <t>၁၁-၉-၂၀၂၄
၂၄-၉-၂၀၂၄</t>
  </si>
  <si>
    <t>ပြည်ခရိုင်၊ ပန်းတောင်းမြို့နယ်
ဖရုံကားကျေးရွာ
အုပ်စု၊ မသုန်ကျေးရွာ</t>
  </si>
  <si>
    <t>ရေ
ဘေး</t>
  </si>
  <si>
    <t>၂-၆-၂၀၂၅</t>
  </si>
  <si>
    <t>တောင်ငူခရိုင်၊ 
ရေတာရှည်မြို့နယ်၊
ဂုံမင်းကွင်းအုပ်စု၊ 
ကျေးရွာ(၄)ရွာ</t>
  </si>
  <si>
    <t>၁၁-၇-၂၀၂၅</t>
  </si>
  <si>
    <t>တောင်ငူခရိုင်၊
တောင်ငူမြို့နယ်၊
ဒိုးသောင်ကျေးရွာအုပ်စု၊
ပေါင်းလောင်းတိန်
အထက်ကျေးရွာ</t>
  </si>
  <si>
    <t>၂၈-၇-၂၀၂၅</t>
  </si>
  <si>
    <t>တောင်ငူခရိုင်၊
တောင်ငူမြို့နယ်၊
ဒိုးသောင်ကျေးရွာအုပ်စု၊
ရှမ်းဝါးတီးကျေးရွာ</t>
  </si>
  <si>
    <t>၃၀-၇-၂၀၂၅</t>
  </si>
  <si>
    <t>တောင်ငူခရိုင်၊
တောင်ငူမြို့နယ်၊
ရပ်ကွက် (၇)ရပ်ကွက်၊
အုပ်စု (၁၀)အုပ်စု</t>
  </si>
  <si>
    <t>တောင်ငူခှရိုင်၊
အုတ်တွင်းမြို့နယ်၊
အုပ်စု (၅)အုပ်စု၊
ကျေးရွာ (၅)ရွာ</t>
  </si>
  <si>
    <t>တောင်ငူခရိုင်၊
ထန်းတပင်မြို့နယ်၊
ရပ်ကွက် (၃)ရပ်ကွက်၊
အုပ်စု (၄)အုပ်စု</t>
  </si>
  <si>
    <t>၂၈-၇-၂၀၂၈</t>
  </si>
  <si>
    <t>ညောင်လေးပင်ခရိုင်၊
မဒေါက်မြို့၊ ရပ်ကွက်
(၂)ရပ်ကွက်၊ ကျေးရွာ
(၄)ရွာ</t>
  </si>
  <si>
    <t>ညောင်လေးပင်ခရိုင်၊
ရွှေကျင်မြို့နယ်၊
တရုတ္တန်း+ညောင်ဝင်း
ရပ်ကွက်</t>
  </si>
  <si>
    <t>၂၄-၇-၂၀၂၅</t>
  </si>
  <si>
    <t>ညောင်လေးပင်ခရိုင်၊
ရွှေကျင်မြို့နယ်၊
ရပ်ကွက် (၄)ရပ်ကွက်၊
အုပ်စု (၁)အုပ်စု</t>
  </si>
  <si>
    <t>ညောင်လေးပင်ခရိုင်၊
ရွှေကျင်မြို့နယ်၊
ရပ်ကွက် (၃)ရပ်ကွက်၊
အုပ်စု (၁)အုပ်စု</t>
  </si>
  <si>
    <t>တောင်ငူမြို့နယ်၊ 
ရပ်ကွက် (၇)ရပ်ကွက်၊ 
အုပ်စု (၁၀)အုပ်စု</t>
  </si>
  <si>
    <t>ညောင်လေးပင်ခရိုင်၊ 
မဒေါက်မြို့၊ ရပ်ကွက်(၂)
ရပ်ကွက်၊ ကျေးရွာ (၄)ရွာ</t>
  </si>
  <si>
    <t>ဒိုက်ဦးမြို့နယ်၊
သုံးခွကျေးရွာ
အုပ်စု၊သုံးခွကျေးရွာ</t>
  </si>
  <si>
    <t>၂၇-၇-၂၀၂၅</t>
  </si>
  <si>
    <t>တောင်ငူခရိုင်၊ 
အုတ်တွင်းမြို့နယ်၊
အုပ်စု (၂)အုပ်စု၊
ကျေးရွာ (၂)ရွာ</t>
  </si>
  <si>
    <t>ရွှေကျင်မြို့နယ်၊
ရပ်ကွက် (၅)ရပ်ကွက်၊
အုပ်စု (၁)အုပ်စု</t>
  </si>
  <si>
    <t>တောင်ငူမြို့နယ်၊ အမှတ် (၂၁)ရပ်ကွက်</t>
  </si>
  <si>
    <t>၁-၁၀-၂၀၂၅</t>
  </si>
  <si>
    <t>ပြည်မြို့နယ်၊ လွှစင်ကျေးရွာအုပ်စု၊ လယ်ဘဲ့ကျေးရွာ</t>
  </si>
  <si>
    <t>၂-၁၀-၂၀၂၅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</si>
</sst>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00455]0"/>
    <numFmt numFmtId="165" formatCode="[$-10000455]0.000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Pyidaungsu"/>
      <family val="2"/>
    </font>
    <font>
      <sz val="9"/>
      <name val="Pyidaungsu"/>
      <family val="2"/>
    </font>
    <font>
      <sz val="8"/>
      <name val="Pyidaungsu"/>
      <family val="2"/>
    </font>
    <font>
      <b/>
      <sz val="9"/>
      <name val="Pyidaungsu"/>
      <family val="2"/>
    </font>
    <font>
      <b/>
      <sz val="13"/>
      <name val="Pyidaungsu"/>
      <family val="2"/>
    </font>
    <font>
      <b/>
      <sz val="12"/>
      <color theme="1"/>
      <name val="Pyidaungsu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165" fontId="1" fillId="0" borderId="3" xfId="0" applyNumberFormat="1" applyFont="1" applyBorder="1" applyAlignment="1">
      <alignment horizontal="center" vertical="center" wrapText="1"/>
    </xf>
    <xf numFmtId="165" fontId="1" fillId="0" borderId="0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/>
    <xf numFmtId="0" fontId="3" fillId="0" borderId="2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0" xfId="0" applyFont="1"/>
    <xf numFmtId="0" fontId="6" fillId="0" borderId="2" xfId="0" applyFont="1" applyBorder="1" applyAlignment="1">
      <alignment horizontal="center" vertical="center" wrapText="1"/>
    </xf>
    <xf numFmtId="0" fontId="7" fillId="0" borderId="0" xfId="0" applyFont="1" applyFill="1"/>
    <xf numFmtId="0" fontId="7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AD80-4A58-4D25-AE9F-4B3E488D3770}">
  <dimension ref="A1:O138"/>
  <sheetViews>
    <sheetView tabSelected="1" topLeftCell="B1" workbookViewId="0">
      <selection activeCell="O87" sqref="O87"/>
    </sheetView>
  </sheetViews>
  <sheetFormatPr defaultRowHeight="15" x14ac:dyDescent="0.25"/>
  <cols>
    <col min="1" max="1" width="8.140625" customWidth="1"/>
    <col min="2" max="2" width="22.42578125" customWidth="1"/>
    <col min="4" max="4" width="13.140625" customWidth="1"/>
  </cols>
  <sheetData>
    <row r="1" spans="1:15" ht="27" customHeight="1" x14ac:dyDescent="0.25">
      <c r="A1" s="2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ht="57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s="14" customFormat="1" ht="31.5" customHeight="1" x14ac:dyDescent="0.25">
      <c r="A3" s="12" t="s">
        <v>0</v>
      </c>
      <c r="B3" s="12" t="s">
        <v>1</v>
      </c>
      <c r="C3" s="13" t="s">
        <v>2</v>
      </c>
      <c r="D3" s="12" t="s">
        <v>3</v>
      </c>
      <c r="E3" s="12" t="s">
        <v>4</v>
      </c>
      <c r="F3" s="12"/>
      <c r="G3" s="12"/>
      <c r="H3" s="13" t="s">
        <v>5</v>
      </c>
      <c r="I3" s="13" t="s">
        <v>33</v>
      </c>
      <c r="J3" s="13" t="s">
        <v>6</v>
      </c>
      <c r="K3" s="13"/>
      <c r="L3" s="13"/>
      <c r="M3" s="13"/>
      <c r="N3" s="13"/>
      <c r="O3" s="17">
        <v>2021</v>
      </c>
    </row>
    <row r="4" spans="1:15" s="14" customFormat="1" ht="31.5" customHeight="1" x14ac:dyDescent="0.25">
      <c r="A4" s="12"/>
      <c r="B4" s="12"/>
      <c r="C4" s="13"/>
      <c r="D4" s="12"/>
      <c r="E4" s="12" t="s">
        <v>7</v>
      </c>
      <c r="F4" s="12" t="s">
        <v>8</v>
      </c>
      <c r="G4" s="12" t="s">
        <v>9</v>
      </c>
      <c r="H4" s="13"/>
      <c r="I4" s="13"/>
      <c r="J4" s="13" t="s">
        <v>10</v>
      </c>
      <c r="K4" s="13"/>
      <c r="L4" s="13" t="s">
        <v>11</v>
      </c>
      <c r="M4" s="13"/>
      <c r="N4" s="13" t="s">
        <v>12</v>
      </c>
      <c r="O4" s="16"/>
    </row>
    <row r="5" spans="1:15" s="14" customFormat="1" ht="31.5" customHeight="1" x14ac:dyDescent="0.25">
      <c r="A5" s="12"/>
      <c r="B5" s="12"/>
      <c r="C5" s="13"/>
      <c r="D5" s="12"/>
      <c r="E5" s="12"/>
      <c r="F5" s="12"/>
      <c r="G5" s="12"/>
      <c r="H5" s="13"/>
      <c r="I5" s="13"/>
      <c r="J5" s="15" t="s">
        <v>13</v>
      </c>
      <c r="K5" s="15" t="s">
        <v>14</v>
      </c>
      <c r="L5" s="15" t="s">
        <v>13</v>
      </c>
      <c r="M5" s="15" t="s">
        <v>14</v>
      </c>
      <c r="N5" s="13"/>
      <c r="O5" s="16"/>
    </row>
    <row r="6" spans="1:15" ht="103.5" x14ac:dyDescent="0.25">
      <c r="A6" s="3">
        <v>1</v>
      </c>
      <c r="B6" s="5" t="s">
        <v>16</v>
      </c>
      <c r="C6" s="6" t="s">
        <v>17</v>
      </c>
      <c r="D6" s="3"/>
      <c r="E6" s="3"/>
      <c r="F6" s="3">
        <v>40</v>
      </c>
      <c r="G6" s="3">
        <v>40</v>
      </c>
      <c r="H6" s="3">
        <v>158</v>
      </c>
      <c r="I6" s="11"/>
      <c r="J6" s="7"/>
      <c r="K6" s="7"/>
      <c r="L6" s="7"/>
      <c r="M6" s="7"/>
      <c r="N6" s="7"/>
    </row>
    <row r="7" spans="1:15" ht="110.25" x14ac:dyDescent="0.25">
      <c r="A7" s="3">
        <v>2</v>
      </c>
      <c r="B7" s="8" t="s">
        <v>18</v>
      </c>
      <c r="C7" s="6" t="s">
        <v>17</v>
      </c>
      <c r="D7" s="3"/>
      <c r="E7" s="3"/>
      <c r="F7" s="3">
        <v>162</v>
      </c>
      <c r="G7" s="3">
        <v>162</v>
      </c>
      <c r="H7" s="3">
        <v>759</v>
      </c>
      <c r="I7" s="3"/>
      <c r="J7" s="7"/>
      <c r="K7" s="7"/>
      <c r="L7" s="7"/>
      <c r="M7" s="7"/>
      <c r="N7" s="7"/>
    </row>
    <row r="8" spans="1:15" ht="63" x14ac:dyDescent="0.25">
      <c r="A8" s="3">
        <v>3</v>
      </c>
      <c r="B8" s="8" t="s">
        <v>19</v>
      </c>
      <c r="C8" s="6" t="s">
        <v>17</v>
      </c>
      <c r="D8" s="3"/>
      <c r="E8" s="3"/>
      <c r="F8" s="3">
        <v>14</v>
      </c>
      <c r="G8" s="3">
        <v>14</v>
      </c>
      <c r="H8" s="3">
        <v>55</v>
      </c>
      <c r="I8" s="3"/>
      <c r="J8" s="7"/>
      <c r="K8" s="7"/>
      <c r="L8" s="7"/>
      <c r="M8" s="7"/>
      <c r="N8" s="7"/>
    </row>
    <row r="9" spans="1:15" ht="63" x14ac:dyDescent="0.25">
      <c r="A9" s="3">
        <v>4</v>
      </c>
      <c r="B9" s="8" t="s">
        <v>19</v>
      </c>
      <c r="C9" s="6" t="s">
        <v>17</v>
      </c>
      <c r="D9" s="3"/>
      <c r="E9" s="3"/>
      <c r="F9" s="3">
        <v>10</v>
      </c>
      <c r="G9" s="3">
        <v>10</v>
      </c>
      <c r="H9" s="3">
        <v>26</v>
      </c>
      <c r="I9" s="3"/>
      <c r="J9" s="7"/>
      <c r="K9" s="7"/>
      <c r="L9" s="7"/>
      <c r="M9" s="7"/>
      <c r="N9" s="7"/>
    </row>
    <row r="10" spans="1:15" ht="63" x14ac:dyDescent="0.25">
      <c r="A10" s="3">
        <v>5</v>
      </c>
      <c r="B10" s="8" t="s">
        <v>19</v>
      </c>
      <c r="C10" s="6" t="s">
        <v>17</v>
      </c>
      <c r="D10" s="3"/>
      <c r="E10" s="3"/>
      <c r="F10" s="3">
        <v>10</v>
      </c>
      <c r="G10" s="3">
        <v>10</v>
      </c>
      <c r="H10" s="3">
        <v>43</v>
      </c>
      <c r="I10" s="3"/>
      <c r="J10" s="7"/>
      <c r="K10" s="7"/>
      <c r="L10" s="7"/>
      <c r="M10" s="7"/>
      <c r="N10" s="7"/>
    </row>
    <row r="11" spans="1:15" ht="63" x14ac:dyDescent="0.25">
      <c r="A11" s="3">
        <v>6</v>
      </c>
      <c r="B11" s="8" t="s">
        <v>19</v>
      </c>
      <c r="C11" s="6" t="s">
        <v>17</v>
      </c>
      <c r="D11" s="3"/>
      <c r="E11" s="3"/>
      <c r="F11" s="3">
        <v>9</v>
      </c>
      <c r="G11" s="3">
        <v>9</v>
      </c>
      <c r="H11" s="3">
        <v>31</v>
      </c>
      <c r="I11" s="3"/>
      <c r="J11" s="7"/>
      <c r="K11" s="7"/>
      <c r="L11" s="7"/>
      <c r="M11" s="7"/>
      <c r="N11" s="7"/>
    </row>
    <row r="12" spans="1:15" ht="71.25" customHeight="1" x14ac:dyDescent="0.25">
      <c r="A12" s="3">
        <v>7</v>
      </c>
      <c r="B12" s="5" t="s">
        <v>20</v>
      </c>
      <c r="C12" s="6" t="s">
        <v>17</v>
      </c>
      <c r="D12" s="3">
        <v>3</v>
      </c>
      <c r="E12" s="3"/>
      <c r="F12" s="3"/>
      <c r="G12" s="3">
        <v>3</v>
      </c>
      <c r="H12" s="3">
        <v>14</v>
      </c>
      <c r="I12" s="3"/>
      <c r="J12" s="7"/>
      <c r="K12" s="7"/>
      <c r="L12" s="7"/>
      <c r="M12" s="7"/>
      <c r="N12" s="7"/>
    </row>
    <row r="13" spans="1:15" ht="84" customHeight="1" x14ac:dyDescent="0.25">
      <c r="A13" s="3">
        <v>8</v>
      </c>
      <c r="B13" s="5" t="s">
        <v>21</v>
      </c>
      <c r="C13" s="6" t="s">
        <v>17</v>
      </c>
      <c r="D13" s="3"/>
      <c r="E13" s="3"/>
      <c r="F13" s="3">
        <v>4</v>
      </c>
      <c r="G13" s="3">
        <v>4</v>
      </c>
      <c r="H13" s="3">
        <v>13</v>
      </c>
      <c r="I13" s="3"/>
      <c r="J13" s="7"/>
      <c r="K13" s="7"/>
      <c r="L13" s="7"/>
      <c r="M13" s="7"/>
      <c r="N13" s="7"/>
    </row>
    <row r="14" spans="1:15" ht="99.75" customHeight="1" x14ac:dyDescent="0.25">
      <c r="A14" s="3">
        <v>9</v>
      </c>
      <c r="B14" s="5" t="s">
        <v>22</v>
      </c>
      <c r="C14" s="6" t="s">
        <v>17</v>
      </c>
      <c r="D14" s="3"/>
      <c r="E14" s="3"/>
      <c r="F14" s="3">
        <v>6</v>
      </c>
      <c r="G14" s="3">
        <v>6</v>
      </c>
      <c r="H14" s="3">
        <v>20</v>
      </c>
      <c r="I14" s="3"/>
      <c r="J14" s="7"/>
      <c r="K14" s="7"/>
      <c r="L14" s="7"/>
      <c r="M14" s="7"/>
      <c r="N14" s="7"/>
    </row>
    <row r="15" spans="1:15" ht="98.25" customHeight="1" x14ac:dyDescent="0.25">
      <c r="A15" s="3">
        <v>10</v>
      </c>
      <c r="B15" s="5" t="s">
        <v>23</v>
      </c>
      <c r="C15" s="6" t="s">
        <v>17</v>
      </c>
      <c r="D15" s="3">
        <v>1</v>
      </c>
      <c r="E15" s="3"/>
      <c r="F15" s="3"/>
      <c r="G15" s="3">
        <v>1</v>
      </c>
      <c r="H15" s="3">
        <v>2</v>
      </c>
      <c r="I15" s="3"/>
      <c r="J15" s="7"/>
      <c r="K15" s="7"/>
      <c r="L15" s="7"/>
      <c r="M15" s="7"/>
      <c r="N15" s="7"/>
    </row>
    <row r="16" spans="1:15" ht="69" x14ac:dyDescent="0.25">
      <c r="A16" s="3">
        <v>11</v>
      </c>
      <c r="B16" s="5" t="s">
        <v>24</v>
      </c>
      <c r="C16" s="6" t="s">
        <v>17</v>
      </c>
      <c r="D16" s="3"/>
      <c r="E16" s="3"/>
      <c r="F16" s="3">
        <v>82</v>
      </c>
      <c r="G16" s="3">
        <v>82</v>
      </c>
      <c r="H16" s="3">
        <v>349</v>
      </c>
      <c r="I16" s="3"/>
      <c r="J16" s="7"/>
      <c r="K16" s="7"/>
      <c r="L16" s="7"/>
      <c r="M16" s="7"/>
      <c r="N16" s="7"/>
    </row>
    <row r="17" spans="1:15" ht="34.5" x14ac:dyDescent="0.25">
      <c r="A17" s="4"/>
      <c r="B17" s="9" t="s">
        <v>25</v>
      </c>
      <c r="C17" s="9" t="s">
        <v>26</v>
      </c>
      <c r="D17" s="4">
        <f>SUM(D6:D16)</f>
        <v>4</v>
      </c>
      <c r="E17" s="4"/>
      <c r="F17" s="4">
        <f t="shared" ref="F17:H17" si="0">SUM(F6:F16)</f>
        <v>337</v>
      </c>
      <c r="G17" s="4">
        <f t="shared" si="0"/>
        <v>341</v>
      </c>
      <c r="H17" s="4">
        <f t="shared" si="0"/>
        <v>1470</v>
      </c>
      <c r="I17" s="4"/>
      <c r="J17" s="4"/>
      <c r="K17" s="4"/>
      <c r="L17" s="4"/>
      <c r="M17" s="4"/>
      <c r="N17" s="4"/>
    </row>
    <row r="18" spans="1:15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5" ht="68.25" customHeight="1" x14ac:dyDescent="0.25">
      <c r="A19" s="3">
        <v>1</v>
      </c>
      <c r="B19" s="5" t="s">
        <v>27</v>
      </c>
      <c r="C19" s="6" t="s">
        <v>17</v>
      </c>
      <c r="D19" s="3" t="s">
        <v>28</v>
      </c>
      <c r="E19" s="3"/>
      <c r="F19" s="3">
        <v>2</v>
      </c>
      <c r="G19" s="3"/>
      <c r="H19" s="3">
        <v>2</v>
      </c>
      <c r="I19" s="3">
        <v>8</v>
      </c>
      <c r="J19" s="7"/>
      <c r="K19" s="8"/>
      <c r="L19" s="8"/>
      <c r="M19" s="7"/>
      <c r="N19" s="7"/>
      <c r="O19" s="17">
        <v>2022</v>
      </c>
    </row>
    <row r="20" spans="1:15" ht="63" customHeight="1" x14ac:dyDescent="0.25">
      <c r="A20" s="3">
        <v>2</v>
      </c>
      <c r="B20" s="8" t="s">
        <v>29</v>
      </c>
      <c r="C20" s="6" t="s">
        <v>17</v>
      </c>
      <c r="D20" s="3" t="s">
        <v>30</v>
      </c>
      <c r="E20" s="3"/>
      <c r="F20" s="3">
        <v>1</v>
      </c>
      <c r="G20" s="3"/>
      <c r="H20" s="3">
        <v>23</v>
      </c>
      <c r="I20" s="3">
        <v>80</v>
      </c>
      <c r="J20" s="7"/>
      <c r="K20" s="8"/>
      <c r="L20" s="8"/>
      <c r="M20" s="7"/>
      <c r="N20" s="7"/>
      <c r="O20" s="16"/>
    </row>
    <row r="21" spans="1:15" ht="34.5" x14ac:dyDescent="0.25">
      <c r="A21" s="4"/>
      <c r="B21" s="9" t="s">
        <v>31</v>
      </c>
      <c r="C21" s="10" t="s">
        <v>32</v>
      </c>
      <c r="D21" s="4"/>
      <c r="E21" s="4"/>
      <c r="F21" s="4">
        <f>SUM(F19:F20)</f>
        <v>3</v>
      </c>
      <c r="G21" s="4"/>
      <c r="H21" s="4">
        <f t="shared" ref="H21:J21" si="1">SUM(H19:H20)</f>
        <v>25</v>
      </c>
      <c r="I21" s="4">
        <f>SUM(I19:I20)</f>
        <v>88</v>
      </c>
      <c r="J21" s="4"/>
      <c r="K21" s="4"/>
      <c r="L21" s="4"/>
      <c r="M21" s="4"/>
      <c r="N21" s="4"/>
      <c r="O21" s="16"/>
    </row>
    <row r="22" spans="1:15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5" ht="38.25" customHeight="1" x14ac:dyDescent="0.25">
      <c r="A23" s="3">
        <v>1</v>
      </c>
      <c r="B23" s="5" t="s">
        <v>34</v>
      </c>
      <c r="C23" s="6" t="s">
        <v>17</v>
      </c>
      <c r="D23" s="5" t="s">
        <v>35</v>
      </c>
      <c r="E23" s="3"/>
      <c r="F23" s="3"/>
      <c r="G23" s="3"/>
      <c r="H23" s="3">
        <v>4521</v>
      </c>
      <c r="I23" s="3">
        <v>19322</v>
      </c>
      <c r="J23" s="5"/>
      <c r="K23" s="5"/>
      <c r="L23" s="5"/>
      <c r="M23" s="5"/>
      <c r="N23" s="7"/>
      <c r="O23" s="17">
        <v>2023</v>
      </c>
    </row>
    <row r="24" spans="1:15" ht="38.25" customHeight="1" x14ac:dyDescent="0.25">
      <c r="A24" s="3"/>
      <c r="B24" s="5" t="s">
        <v>36</v>
      </c>
      <c r="C24" s="6"/>
      <c r="D24" s="5"/>
      <c r="E24" s="3">
        <v>6</v>
      </c>
      <c r="F24" s="3"/>
      <c r="G24" s="3"/>
      <c r="H24" s="3">
        <v>6</v>
      </c>
      <c r="I24" s="3">
        <v>32</v>
      </c>
      <c r="J24" s="5"/>
      <c r="K24" s="5"/>
      <c r="L24" s="5"/>
      <c r="M24" s="5"/>
      <c r="N24" s="7"/>
    </row>
    <row r="25" spans="1:15" ht="36.75" customHeight="1" x14ac:dyDescent="0.25">
      <c r="A25" s="3">
        <v>2</v>
      </c>
      <c r="B25" s="5" t="s">
        <v>37</v>
      </c>
      <c r="C25" s="6" t="s">
        <v>17</v>
      </c>
      <c r="D25" s="5" t="s">
        <v>38</v>
      </c>
      <c r="E25" s="3"/>
      <c r="F25" s="3"/>
      <c r="G25" s="3"/>
      <c r="H25" s="3">
        <v>73</v>
      </c>
      <c r="I25" s="3">
        <v>377</v>
      </c>
      <c r="J25" s="5"/>
      <c r="K25" s="5"/>
      <c r="L25" s="5"/>
      <c r="M25" s="5"/>
      <c r="N25" s="7"/>
    </row>
    <row r="26" spans="1:15" ht="55.5" customHeight="1" x14ac:dyDescent="0.25">
      <c r="A26" s="3">
        <v>3</v>
      </c>
      <c r="B26" s="5" t="s">
        <v>39</v>
      </c>
      <c r="C26" s="6" t="s">
        <v>17</v>
      </c>
      <c r="D26" s="5" t="s">
        <v>40</v>
      </c>
      <c r="E26" s="3"/>
      <c r="F26" s="3"/>
      <c r="G26" s="3"/>
      <c r="H26" s="3">
        <v>29</v>
      </c>
      <c r="I26" s="3">
        <v>103</v>
      </c>
      <c r="J26" s="5"/>
      <c r="K26" s="5"/>
      <c r="L26" s="5"/>
      <c r="M26" s="5"/>
      <c r="N26" s="7"/>
    </row>
    <row r="27" spans="1:15" ht="42.75" customHeight="1" x14ac:dyDescent="0.25">
      <c r="A27" s="3">
        <v>4</v>
      </c>
      <c r="B27" s="5" t="s">
        <v>41</v>
      </c>
      <c r="C27" s="6" t="s">
        <v>17</v>
      </c>
      <c r="D27" s="5" t="s">
        <v>42</v>
      </c>
      <c r="E27" s="3">
        <v>1</v>
      </c>
      <c r="F27" s="3"/>
      <c r="G27" s="3"/>
      <c r="H27" s="3">
        <v>1</v>
      </c>
      <c r="I27" s="3">
        <v>4</v>
      </c>
      <c r="J27" s="5"/>
      <c r="K27" s="5"/>
      <c r="L27" s="5"/>
      <c r="M27" s="5"/>
      <c r="N27" s="7"/>
    </row>
    <row r="28" spans="1:15" ht="64.5" customHeight="1" x14ac:dyDescent="0.25">
      <c r="A28" s="3">
        <v>5</v>
      </c>
      <c r="B28" s="5" t="s">
        <v>43</v>
      </c>
      <c r="C28" s="6" t="s">
        <v>17</v>
      </c>
      <c r="D28" s="5" t="s">
        <v>44</v>
      </c>
      <c r="E28" s="3"/>
      <c r="F28" s="3"/>
      <c r="G28" s="3"/>
      <c r="H28" s="3">
        <v>99</v>
      </c>
      <c r="I28" s="3">
        <v>404</v>
      </c>
      <c r="J28" s="5"/>
      <c r="K28" s="5"/>
      <c r="L28" s="5"/>
      <c r="M28" s="5"/>
      <c r="N28" s="7"/>
    </row>
    <row r="29" spans="1:15" ht="57.75" customHeight="1" x14ac:dyDescent="0.25">
      <c r="A29" s="3">
        <v>6</v>
      </c>
      <c r="B29" s="5" t="s">
        <v>45</v>
      </c>
      <c r="C29" s="6" t="s">
        <v>17</v>
      </c>
      <c r="D29" s="5" t="s">
        <v>46</v>
      </c>
      <c r="E29" s="3"/>
      <c r="F29" s="3"/>
      <c r="G29" s="3"/>
      <c r="H29" s="3">
        <v>70</v>
      </c>
      <c r="I29" s="3">
        <v>261</v>
      </c>
      <c r="J29" s="5"/>
      <c r="K29" s="5"/>
      <c r="L29" s="5"/>
      <c r="M29" s="5"/>
      <c r="N29" s="7"/>
    </row>
    <row r="30" spans="1:15" ht="59.25" customHeight="1" x14ac:dyDescent="0.25">
      <c r="A30" s="3">
        <v>7</v>
      </c>
      <c r="B30" s="5" t="s">
        <v>47</v>
      </c>
      <c r="C30" s="6" t="s">
        <v>17</v>
      </c>
      <c r="D30" s="5" t="s">
        <v>48</v>
      </c>
      <c r="E30" s="3">
        <v>1</v>
      </c>
      <c r="F30" s="3"/>
      <c r="G30" s="3"/>
      <c r="H30" s="3">
        <v>1</v>
      </c>
      <c r="I30" s="3">
        <v>6</v>
      </c>
      <c r="J30" s="5"/>
      <c r="K30" s="5"/>
      <c r="L30" s="5"/>
      <c r="M30" s="5"/>
      <c r="N30" s="7"/>
    </row>
    <row r="31" spans="1:15" ht="55.5" customHeight="1" x14ac:dyDescent="0.25">
      <c r="A31" s="3">
        <v>8</v>
      </c>
      <c r="B31" s="5" t="s">
        <v>49</v>
      </c>
      <c r="C31" s="6" t="s">
        <v>17</v>
      </c>
      <c r="D31" s="5" t="s">
        <v>50</v>
      </c>
      <c r="E31" s="3">
        <v>3</v>
      </c>
      <c r="F31" s="3"/>
      <c r="G31" s="3"/>
      <c r="H31" s="3">
        <v>3</v>
      </c>
      <c r="I31" s="3">
        <v>8</v>
      </c>
      <c r="J31" s="5"/>
      <c r="K31" s="5"/>
      <c r="L31" s="5"/>
      <c r="M31" s="5"/>
      <c r="N31" s="7"/>
    </row>
    <row r="32" spans="1:15" ht="51.75" customHeight="1" x14ac:dyDescent="0.25">
      <c r="A32" s="3">
        <v>9</v>
      </c>
      <c r="B32" s="5" t="s">
        <v>51</v>
      </c>
      <c r="C32" s="6" t="s">
        <v>17</v>
      </c>
      <c r="D32" s="5" t="s">
        <v>52</v>
      </c>
      <c r="E32" s="3">
        <v>1</v>
      </c>
      <c r="F32" s="3"/>
      <c r="G32" s="3"/>
      <c r="H32" s="3">
        <v>1</v>
      </c>
      <c r="I32" s="3">
        <v>1</v>
      </c>
      <c r="J32" s="5"/>
      <c r="K32" s="5"/>
      <c r="L32" s="5"/>
      <c r="M32" s="5"/>
      <c r="N32" s="7"/>
    </row>
    <row r="33" spans="1:15" ht="51" customHeight="1" x14ac:dyDescent="0.25">
      <c r="A33" s="3">
        <v>10</v>
      </c>
      <c r="B33" s="5" t="s">
        <v>53</v>
      </c>
      <c r="C33" s="6" t="s">
        <v>17</v>
      </c>
      <c r="D33" s="5" t="s">
        <v>54</v>
      </c>
      <c r="E33" s="3">
        <v>1</v>
      </c>
      <c r="F33" s="3"/>
      <c r="G33" s="3"/>
      <c r="H33" s="3">
        <v>1</v>
      </c>
      <c r="I33" s="3">
        <v>3</v>
      </c>
      <c r="J33" s="5"/>
      <c r="K33" s="5"/>
      <c r="L33" s="5"/>
      <c r="M33" s="5"/>
      <c r="N33" s="7"/>
    </row>
    <row r="34" spans="1:15" ht="48.75" customHeight="1" x14ac:dyDescent="0.25">
      <c r="A34" s="3">
        <v>11</v>
      </c>
      <c r="B34" s="5" t="s">
        <v>55</v>
      </c>
      <c r="C34" s="6" t="s">
        <v>17</v>
      </c>
      <c r="D34" s="5" t="s">
        <v>56</v>
      </c>
      <c r="E34" s="3"/>
      <c r="F34" s="3"/>
      <c r="G34" s="3"/>
      <c r="H34" s="3">
        <v>6282</v>
      </c>
      <c r="I34" s="3">
        <v>27302</v>
      </c>
      <c r="J34" s="5"/>
      <c r="K34" s="5"/>
      <c r="L34" s="5"/>
      <c r="M34" s="5"/>
      <c r="N34" s="7"/>
    </row>
    <row r="35" spans="1:15" ht="44.25" customHeight="1" x14ac:dyDescent="0.25">
      <c r="A35" s="3"/>
      <c r="B35" s="5" t="s">
        <v>57</v>
      </c>
      <c r="C35" s="6"/>
      <c r="D35" s="5"/>
      <c r="E35" s="3">
        <v>34</v>
      </c>
      <c r="F35" s="3"/>
      <c r="G35" s="3"/>
      <c r="H35" s="3"/>
      <c r="I35" s="3"/>
      <c r="J35" s="5"/>
      <c r="K35" s="5"/>
      <c r="L35" s="5"/>
      <c r="M35" s="5"/>
      <c r="N35" s="7"/>
    </row>
    <row r="36" spans="1:15" ht="52.5" customHeight="1" x14ac:dyDescent="0.25">
      <c r="A36" s="3">
        <v>12</v>
      </c>
      <c r="B36" s="5" t="s">
        <v>58</v>
      </c>
      <c r="C36" s="6" t="s">
        <v>17</v>
      </c>
      <c r="D36" s="5" t="s">
        <v>59</v>
      </c>
      <c r="E36" s="3"/>
      <c r="F36" s="3"/>
      <c r="G36" s="3"/>
      <c r="H36" s="3">
        <v>306</v>
      </c>
      <c r="I36" s="3">
        <v>1328</v>
      </c>
      <c r="J36" s="5"/>
      <c r="K36" s="5"/>
      <c r="L36" s="5"/>
      <c r="M36" s="5"/>
      <c r="N36" s="7"/>
    </row>
    <row r="37" spans="1:15" ht="55.5" customHeight="1" x14ac:dyDescent="0.25">
      <c r="A37" s="3">
        <v>13</v>
      </c>
      <c r="B37" s="5" t="s">
        <v>60</v>
      </c>
      <c r="C37" s="6" t="s">
        <v>17</v>
      </c>
      <c r="D37" s="5" t="s">
        <v>59</v>
      </c>
      <c r="E37" s="3"/>
      <c r="F37" s="3"/>
      <c r="G37" s="3"/>
      <c r="H37" s="3">
        <v>39</v>
      </c>
      <c r="I37" s="3">
        <v>170</v>
      </c>
      <c r="J37" s="5"/>
      <c r="K37" s="5"/>
      <c r="L37" s="5"/>
      <c r="M37" s="5"/>
      <c r="N37" s="7"/>
    </row>
    <row r="38" spans="1:15" ht="66" customHeight="1" x14ac:dyDescent="0.25">
      <c r="A38" s="3">
        <v>14</v>
      </c>
      <c r="B38" s="5" t="s">
        <v>61</v>
      </c>
      <c r="C38" s="6" t="s">
        <v>17</v>
      </c>
      <c r="D38" s="5" t="s">
        <v>62</v>
      </c>
      <c r="E38" s="3"/>
      <c r="F38" s="3"/>
      <c r="G38" s="3"/>
      <c r="H38" s="3">
        <v>105</v>
      </c>
      <c r="I38" s="3">
        <v>518</v>
      </c>
      <c r="J38" s="5"/>
      <c r="K38" s="5"/>
      <c r="L38" s="5"/>
      <c r="M38" s="5"/>
      <c r="N38" s="7"/>
    </row>
    <row r="39" spans="1:15" ht="53.25" customHeight="1" x14ac:dyDescent="0.25">
      <c r="A39" s="3">
        <v>15</v>
      </c>
      <c r="B39" s="5" t="s">
        <v>63</v>
      </c>
      <c r="C39" s="6" t="s">
        <v>17</v>
      </c>
      <c r="D39" s="5" t="s">
        <v>64</v>
      </c>
      <c r="E39" s="3"/>
      <c r="F39" s="3"/>
      <c r="G39" s="3"/>
      <c r="H39" s="3">
        <v>111</v>
      </c>
      <c r="I39" s="3">
        <v>440</v>
      </c>
      <c r="J39" s="5"/>
      <c r="K39" s="5"/>
      <c r="L39" s="5"/>
      <c r="M39" s="5"/>
      <c r="N39" s="7"/>
    </row>
    <row r="40" spans="1:15" ht="50.25" customHeight="1" x14ac:dyDescent="0.25">
      <c r="A40" s="3">
        <v>16</v>
      </c>
      <c r="B40" s="5" t="s">
        <v>65</v>
      </c>
      <c r="C40" s="6" t="s">
        <v>17</v>
      </c>
      <c r="D40" s="5" t="s">
        <v>64</v>
      </c>
      <c r="E40" s="3"/>
      <c r="F40" s="3"/>
      <c r="G40" s="3"/>
      <c r="H40" s="3">
        <v>2</v>
      </c>
      <c r="I40" s="3">
        <v>9</v>
      </c>
      <c r="J40" s="5"/>
      <c r="K40" s="5"/>
      <c r="L40" s="5"/>
      <c r="M40" s="5"/>
      <c r="N40" s="7"/>
    </row>
    <row r="41" spans="1:15" ht="28.5" customHeight="1" x14ac:dyDescent="0.25">
      <c r="A41" s="9"/>
      <c r="B41" s="9" t="s">
        <v>31</v>
      </c>
      <c r="C41" s="4">
        <v>16</v>
      </c>
      <c r="D41" s="4"/>
      <c r="E41" s="4">
        <f>SUM(E23:E40)</f>
        <v>47</v>
      </c>
      <c r="F41" s="4"/>
      <c r="G41" s="4"/>
      <c r="H41" s="4">
        <f>SUM(H23:H40)</f>
        <v>11650</v>
      </c>
      <c r="I41" s="4">
        <f>SUM(I23:I40)</f>
        <v>50288</v>
      </c>
      <c r="J41" s="4"/>
      <c r="K41" s="4"/>
      <c r="L41" s="4"/>
      <c r="M41" s="4"/>
      <c r="N41" s="4"/>
    </row>
    <row r="42" spans="1:15" ht="17.25" x14ac:dyDescent="0.25">
      <c r="A42" s="7"/>
      <c r="B42" s="7"/>
      <c r="C42" s="7"/>
      <c r="D42" s="7"/>
      <c r="E42" s="3"/>
      <c r="F42" s="3"/>
      <c r="G42" s="3"/>
      <c r="H42" s="3"/>
      <c r="I42" s="3"/>
      <c r="J42" s="7"/>
      <c r="K42" s="7"/>
      <c r="L42" s="7"/>
      <c r="M42" s="7"/>
      <c r="N42" s="7"/>
    </row>
    <row r="43" spans="1:15" ht="51.75" x14ac:dyDescent="0.25">
      <c r="A43" s="3">
        <v>1</v>
      </c>
      <c r="B43" s="6" t="s">
        <v>66</v>
      </c>
      <c r="C43" s="5" t="s">
        <v>67</v>
      </c>
      <c r="D43" s="10" t="s">
        <v>127</v>
      </c>
      <c r="E43" s="3"/>
      <c r="F43" s="3"/>
      <c r="G43" s="5"/>
      <c r="H43" s="3">
        <v>1015</v>
      </c>
      <c r="I43" s="3">
        <v>1601</v>
      </c>
      <c r="J43" s="3">
        <v>1778</v>
      </c>
      <c r="K43" s="3"/>
      <c r="L43" s="3"/>
      <c r="M43" s="3">
        <v>3379</v>
      </c>
      <c r="N43" s="7"/>
      <c r="O43" s="17">
        <v>2024</v>
      </c>
    </row>
    <row r="44" spans="1:15" ht="51.75" x14ac:dyDescent="0.25">
      <c r="A44" s="3">
        <v>2</v>
      </c>
      <c r="B44" s="6" t="s">
        <v>68</v>
      </c>
      <c r="C44" s="5" t="s">
        <v>67</v>
      </c>
      <c r="D44" s="10" t="s">
        <v>128</v>
      </c>
      <c r="E44" s="3"/>
      <c r="F44" s="3"/>
      <c r="G44" s="5"/>
      <c r="H44" s="3">
        <v>925</v>
      </c>
      <c r="I44" s="3">
        <v>1537</v>
      </c>
      <c r="J44" s="3">
        <v>1751</v>
      </c>
      <c r="K44" s="3"/>
      <c r="L44" s="3"/>
      <c r="M44" s="3">
        <v>3288</v>
      </c>
      <c r="N44" s="7"/>
    </row>
    <row r="45" spans="1:15" ht="51.75" x14ac:dyDescent="0.25">
      <c r="A45" s="3">
        <v>3</v>
      </c>
      <c r="B45" s="6" t="s">
        <v>69</v>
      </c>
      <c r="C45" s="5" t="s">
        <v>67</v>
      </c>
      <c r="D45" s="10" t="s">
        <v>129</v>
      </c>
      <c r="E45" s="3">
        <v>1</v>
      </c>
      <c r="F45" s="3">
        <v>1</v>
      </c>
      <c r="G45" s="5"/>
      <c r="H45" s="3">
        <v>635</v>
      </c>
      <c r="I45" s="3">
        <v>1259</v>
      </c>
      <c r="J45" s="3">
        <v>1323</v>
      </c>
      <c r="K45" s="3"/>
      <c r="L45" s="3"/>
      <c r="M45" s="3">
        <v>2582</v>
      </c>
      <c r="N45" s="7"/>
    </row>
    <row r="46" spans="1:15" ht="51.75" x14ac:dyDescent="0.25">
      <c r="A46" s="3">
        <v>4</v>
      </c>
      <c r="B46" s="6" t="s">
        <v>70</v>
      </c>
      <c r="C46" s="5" t="s">
        <v>67</v>
      </c>
      <c r="D46" s="10" t="s">
        <v>130</v>
      </c>
      <c r="E46" s="3"/>
      <c r="F46" s="3"/>
      <c r="G46" s="5"/>
      <c r="H46" s="3">
        <v>904</v>
      </c>
      <c r="I46" s="3">
        <v>1419</v>
      </c>
      <c r="J46" s="3">
        <v>1620</v>
      </c>
      <c r="K46" s="3"/>
      <c r="L46" s="3"/>
      <c r="M46" s="3">
        <f>SUM(I46:L46)</f>
        <v>3039</v>
      </c>
      <c r="N46" s="7"/>
    </row>
    <row r="47" spans="1:15" ht="51.75" x14ac:dyDescent="0.25">
      <c r="A47" s="3"/>
      <c r="B47" s="6" t="s">
        <v>71</v>
      </c>
      <c r="C47" s="5" t="s">
        <v>67</v>
      </c>
      <c r="D47" s="10" t="s">
        <v>131</v>
      </c>
      <c r="E47" s="3">
        <v>34</v>
      </c>
      <c r="F47" s="3">
        <v>7</v>
      </c>
      <c r="G47" s="5"/>
      <c r="H47" s="3">
        <v>41</v>
      </c>
      <c r="I47" s="3">
        <v>54</v>
      </c>
      <c r="J47" s="3">
        <v>51</v>
      </c>
      <c r="K47" s="3">
        <v>16</v>
      </c>
      <c r="L47" s="3">
        <v>19</v>
      </c>
      <c r="M47" s="3">
        <v>140</v>
      </c>
      <c r="N47" s="7"/>
    </row>
    <row r="48" spans="1:15" ht="51.75" x14ac:dyDescent="0.25">
      <c r="A48" s="3">
        <v>5</v>
      </c>
      <c r="B48" s="6" t="s">
        <v>72</v>
      </c>
      <c r="C48" s="5" t="s">
        <v>67</v>
      </c>
      <c r="D48" s="10" t="s">
        <v>132</v>
      </c>
      <c r="E48" s="3">
        <v>13</v>
      </c>
      <c r="F48" s="3"/>
      <c r="G48" s="5"/>
      <c r="H48" s="3">
        <v>13</v>
      </c>
      <c r="I48" s="3">
        <v>12</v>
      </c>
      <c r="J48" s="3">
        <v>23</v>
      </c>
      <c r="K48" s="3"/>
      <c r="L48" s="3"/>
      <c r="M48" s="3">
        <f>SUM(I48:L48)</f>
        <v>35</v>
      </c>
      <c r="N48" s="7"/>
    </row>
    <row r="49" spans="1:14" ht="69" x14ac:dyDescent="0.25">
      <c r="A49" s="3">
        <v>6</v>
      </c>
      <c r="B49" s="6" t="s">
        <v>73</v>
      </c>
      <c r="C49" s="5" t="s">
        <v>67</v>
      </c>
      <c r="D49" s="10" t="s">
        <v>133</v>
      </c>
      <c r="E49" s="3"/>
      <c r="F49" s="3"/>
      <c r="G49" s="5"/>
      <c r="H49" s="3">
        <v>179</v>
      </c>
      <c r="I49" s="3">
        <v>324</v>
      </c>
      <c r="J49" s="3">
        <v>352</v>
      </c>
      <c r="K49" s="3"/>
      <c r="L49" s="3"/>
      <c r="M49" s="3">
        <f>SUM(I49:L49)</f>
        <v>676</v>
      </c>
      <c r="N49" s="7"/>
    </row>
    <row r="50" spans="1:14" ht="69" x14ac:dyDescent="0.25">
      <c r="A50" s="3">
        <v>7</v>
      </c>
      <c r="B50" s="6" t="s">
        <v>74</v>
      </c>
      <c r="C50" s="5" t="s">
        <v>67</v>
      </c>
      <c r="D50" s="10" t="s">
        <v>134</v>
      </c>
      <c r="E50" s="3"/>
      <c r="F50" s="3"/>
      <c r="G50" s="5"/>
      <c r="H50" s="3">
        <v>215</v>
      </c>
      <c r="I50" s="3">
        <v>216</v>
      </c>
      <c r="J50" s="3">
        <v>382</v>
      </c>
      <c r="K50" s="3"/>
      <c r="L50" s="3"/>
      <c r="M50" s="3">
        <f>SUM(I50:L50)</f>
        <v>598</v>
      </c>
      <c r="N50" s="7"/>
    </row>
    <row r="51" spans="1:14" ht="21" customHeight="1" x14ac:dyDescent="0.25">
      <c r="A51" s="3">
        <v>8</v>
      </c>
      <c r="B51" s="6" t="s">
        <v>75</v>
      </c>
      <c r="C51" s="5" t="s">
        <v>17</v>
      </c>
      <c r="D51" s="3" t="s">
        <v>76</v>
      </c>
      <c r="E51" s="3"/>
      <c r="F51" s="3"/>
      <c r="G51" s="5"/>
      <c r="H51" s="3">
        <v>868</v>
      </c>
      <c r="I51" s="3">
        <v>1462</v>
      </c>
      <c r="J51" s="3">
        <v>1720</v>
      </c>
      <c r="K51" s="3">
        <v>599</v>
      </c>
      <c r="L51" s="3">
        <v>639</v>
      </c>
      <c r="M51" s="3">
        <f>SUM(I51:L51)</f>
        <v>4420</v>
      </c>
      <c r="N51" s="7"/>
    </row>
    <row r="52" spans="1:14" ht="17.25" x14ac:dyDescent="0.25">
      <c r="A52" s="3"/>
      <c r="B52" s="6"/>
      <c r="C52" s="5"/>
      <c r="D52" s="3" t="s">
        <v>77</v>
      </c>
      <c r="E52" s="3">
        <v>2</v>
      </c>
      <c r="F52" s="3"/>
      <c r="G52" s="5"/>
      <c r="H52" s="3"/>
      <c r="I52" s="3"/>
      <c r="J52" s="3"/>
      <c r="K52" s="3"/>
      <c r="L52" s="3"/>
      <c r="M52" s="3"/>
      <c r="N52" s="7"/>
    </row>
    <row r="53" spans="1:14" ht="51.75" x14ac:dyDescent="0.25">
      <c r="A53" s="3">
        <v>9</v>
      </c>
      <c r="B53" s="6" t="s">
        <v>78</v>
      </c>
      <c r="C53" s="5" t="s">
        <v>17</v>
      </c>
      <c r="D53" s="3" t="s">
        <v>79</v>
      </c>
      <c r="E53" s="3"/>
      <c r="F53" s="3"/>
      <c r="G53" s="5"/>
      <c r="H53" s="3">
        <v>227</v>
      </c>
      <c r="I53" s="3">
        <v>352</v>
      </c>
      <c r="J53" s="3">
        <v>400</v>
      </c>
      <c r="K53" s="3"/>
      <c r="L53" s="3"/>
      <c r="M53" s="3">
        <v>752</v>
      </c>
      <c r="N53" s="7"/>
    </row>
    <row r="54" spans="1:14" ht="51.75" x14ac:dyDescent="0.25">
      <c r="A54" s="3">
        <v>10</v>
      </c>
      <c r="B54" s="6" t="s">
        <v>80</v>
      </c>
      <c r="C54" s="5" t="s">
        <v>17</v>
      </c>
      <c r="D54" s="3" t="s">
        <v>81</v>
      </c>
      <c r="E54" s="3"/>
      <c r="F54" s="3"/>
      <c r="G54" s="5"/>
      <c r="H54" s="3">
        <v>7811</v>
      </c>
      <c r="I54" s="3">
        <v>14917</v>
      </c>
      <c r="J54" s="3">
        <v>17507</v>
      </c>
      <c r="K54" s="3"/>
      <c r="L54" s="3"/>
      <c r="M54" s="3">
        <f>SUM(I54:L54)</f>
        <v>32424</v>
      </c>
      <c r="N54" s="7"/>
    </row>
    <row r="55" spans="1:14" ht="51.75" x14ac:dyDescent="0.25">
      <c r="A55" s="3">
        <v>10.5</v>
      </c>
      <c r="B55" s="6" t="s">
        <v>82</v>
      </c>
      <c r="C55" s="5" t="s">
        <v>17</v>
      </c>
      <c r="D55" s="3" t="s">
        <v>81</v>
      </c>
      <c r="E55" s="3">
        <v>1</v>
      </c>
      <c r="F55" s="3"/>
      <c r="G55" s="5"/>
      <c r="H55" s="3">
        <v>1</v>
      </c>
      <c r="I55" s="3">
        <v>1</v>
      </c>
      <c r="J55" s="3">
        <v>1</v>
      </c>
      <c r="K55" s="3"/>
      <c r="L55" s="3">
        <v>4</v>
      </c>
      <c r="M55" s="3">
        <f>SUM(I55:L55)</f>
        <v>6</v>
      </c>
      <c r="N55" s="7"/>
    </row>
    <row r="56" spans="1:14" ht="51.75" x14ac:dyDescent="0.25">
      <c r="A56" s="3">
        <v>11.1428571428571</v>
      </c>
      <c r="B56" s="6" t="s">
        <v>83</v>
      </c>
      <c r="C56" s="5" t="s">
        <v>17</v>
      </c>
      <c r="D56" s="3" t="s">
        <v>84</v>
      </c>
      <c r="E56" s="3"/>
      <c r="F56" s="3"/>
      <c r="G56" s="5"/>
      <c r="H56" s="3">
        <v>19</v>
      </c>
      <c r="I56" s="3">
        <v>37</v>
      </c>
      <c r="J56" s="3">
        <v>48</v>
      </c>
      <c r="K56" s="3"/>
      <c r="L56" s="3"/>
      <c r="M56" s="3">
        <f>SUM(I56:L56)</f>
        <v>85</v>
      </c>
      <c r="N56" s="7"/>
    </row>
    <row r="57" spans="1:14" ht="34.5" x14ac:dyDescent="0.25">
      <c r="A57" s="3">
        <v>11.785714285714301</v>
      </c>
      <c r="B57" s="6" t="s">
        <v>85</v>
      </c>
      <c r="C57" s="5" t="s">
        <v>17</v>
      </c>
      <c r="D57" s="3" t="s">
        <v>86</v>
      </c>
      <c r="E57" s="3">
        <v>5</v>
      </c>
      <c r="F57" s="3">
        <v>2</v>
      </c>
      <c r="G57" s="5"/>
      <c r="H57" s="3">
        <v>7</v>
      </c>
      <c r="I57" s="3">
        <v>7</v>
      </c>
      <c r="J57" s="3">
        <v>11</v>
      </c>
      <c r="K57" s="3"/>
      <c r="L57" s="3"/>
      <c r="M57" s="3">
        <f t="shared" ref="M57:M62" si="2">SUM(I57:L57)</f>
        <v>18</v>
      </c>
      <c r="N57" s="7"/>
    </row>
    <row r="58" spans="1:14" ht="17.25" x14ac:dyDescent="0.25">
      <c r="A58" s="3">
        <v>12.3571428571429</v>
      </c>
      <c r="B58" s="6" t="s">
        <v>87</v>
      </c>
      <c r="C58" s="5" t="s">
        <v>17</v>
      </c>
      <c r="D58" s="3" t="s">
        <v>84</v>
      </c>
      <c r="E58" s="3"/>
      <c r="F58" s="3"/>
      <c r="G58" s="5"/>
      <c r="H58" s="3">
        <v>12</v>
      </c>
      <c r="I58" s="3">
        <v>27</v>
      </c>
      <c r="J58" s="3">
        <v>23</v>
      </c>
      <c r="K58" s="3"/>
      <c r="L58" s="3"/>
      <c r="M58" s="3">
        <f t="shared" si="2"/>
        <v>50</v>
      </c>
      <c r="N58" s="7"/>
    </row>
    <row r="59" spans="1:14" ht="51.75" x14ac:dyDescent="0.25">
      <c r="A59" s="3">
        <v>12.9571428571429</v>
      </c>
      <c r="B59" s="6" t="s">
        <v>88</v>
      </c>
      <c r="C59" s="5" t="s">
        <v>17</v>
      </c>
      <c r="D59" s="3" t="s">
        <v>89</v>
      </c>
      <c r="E59" s="3"/>
      <c r="F59" s="3"/>
      <c r="G59" s="5"/>
      <c r="H59" s="3">
        <v>287</v>
      </c>
      <c r="I59" s="3">
        <v>547</v>
      </c>
      <c r="J59" s="3">
        <v>1002</v>
      </c>
      <c r="K59" s="3"/>
      <c r="L59" s="3"/>
      <c r="M59" s="3">
        <f t="shared" si="2"/>
        <v>1549</v>
      </c>
      <c r="N59" s="7"/>
    </row>
    <row r="60" spans="1:14" ht="51.75" x14ac:dyDescent="0.25">
      <c r="A60" s="3">
        <v>13.5571428571428</v>
      </c>
      <c r="B60" s="6" t="s">
        <v>90</v>
      </c>
      <c r="C60" s="5" t="s">
        <v>17</v>
      </c>
      <c r="D60" s="3" t="s">
        <v>91</v>
      </c>
      <c r="E60" s="3">
        <v>2</v>
      </c>
      <c r="F60" s="3"/>
      <c r="G60" s="5"/>
      <c r="H60" s="3">
        <v>153</v>
      </c>
      <c r="I60" s="3">
        <v>310</v>
      </c>
      <c r="J60" s="3">
        <v>331</v>
      </c>
      <c r="K60" s="3"/>
      <c r="L60" s="3"/>
      <c r="M60" s="3">
        <f t="shared" si="2"/>
        <v>641</v>
      </c>
      <c r="N60" s="7"/>
    </row>
    <row r="61" spans="1:14" ht="34.5" x14ac:dyDescent="0.25">
      <c r="A61" s="3">
        <v>14.157142857142899</v>
      </c>
      <c r="B61" s="6" t="s">
        <v>92</v>
      </c>
      <c r="C61" s="5" t="s">
        <v>17</v>
      </c>
      <c r="D61" s="10" t="s">
        <v>93</v>
      </c>
      <c r="E61" s="3"/>
      <c r="F61" s="3"/>
      <c r="G61" s="5"/>
      <c r="H61" s="3">
        <v>247</v>
      </c>
      <c r="I61" s="3">
        <v>442</v>
      </c>
      <c r="J61" s="3">
        <v>564</v>
      </c>
      <c r="K61" s="3"/>
      <c r="L61" s="3"/>
      <c r="M61" s="3">
        <f t="shared" si="2"/>
        <v>1006</v>
      </c>
      <c r="N61" s="7"/>
    </row>
    <row r="62" spans="1:14" ht="51.75" x14ac:dyDescent="0.25">
      <c r="A62" s="3">
        <v>14.757142857142799</v>
      </c>
      <c r="B62" s="6" t="s">
        <v>94</v>
      </c>
      <c r="C62" s="5" t="s">
        <v>17</v>
      </c>
      <c r="D62" s="10" t="s">
        <v>135</v>
      </c>
      <c r="E62" s="3"/>
      <c r="F62" s="3"/>
      <c r="G62" s="5"/>
      <c r="H62" s="3">
        <v>549</v>
      </c>
      <c r="I62" s="3">
        <v>1142</v>
      </c>
      <c r="J62" s="3">
        <v>1077</v>
      </c>
      <c r="K62" s="3"/>
      <c r="L62" s="3"/>
      <c r="M62" s="3">
        <f t="shared" si="2"/>
        <v>2219</v>
      </c>
      <c r="N62" s="7"/>
    </row>
    <row r="63" spans="1:14" ht="34.5" x14ac:dyDescent="0.25">
      <c r="A63" s="3">
        <v>15.3571428571429</v>
      </c>
      <c r="B63" s="6" t="s">
        <v>95</v>
      </c>
      <c r="C63" s="5" t="s">
        <v>17</v>
      </c>
      <c r="D63" s="3" t="s">
        <v>96</v>
      </c>
      <c r="E63" s="3"/>
      <c r="F63" s="3"/>
      <c r="G63" s="5"/>
      <c r="H63" s="3"/>
      <c r="I63" s="3"/>
      <c r="J63" s="3"/>
      <c r="K63" s="3"/>
      <c r="L63" s="3"/>
      <c r="M63" s="3"/>
      <c r="N63" s="7"/>
    </row>
    <row r="64" spans="1:14" ht="34.5" x14ac:dyDescent="0.25">
      <c r="A64" s="3">
        <v>15.9571428571429</v>
      </c>
      <c r="B64" s="6" t="s">
        <v>97</v>
      </c>
      <c r="C64" s="5" t="s">
        <v>17</v>
      </c>
      <c r="D64" s="3" t="s">
        <v>77</v>
      </c>
      <c r="E64" s="3"/>
      <c r="F64" s="3"/>
      <c r="G64" s="5"/>
      <c r="H64" s="3"/>
      <c r="I64" s="3"/>
      <c r="J64" s="3"/>
      <c r="K64" s="3"/>
      <c r="L64" s="3"/>
      <c r="M64" s="3"/>
      <c r="N64" s="7"/>
    </row>
    <row r="65" spans="1:14" ht="17.25" x14ac:dyDescent="0.25">
      <c r="A65" s="3">
        <v>16.5571428571428</v>
      </c>
      <c r="B65" s="6" t="s">
        <v>98</v>
      </c>
      <c r="C65" s="5" t="s">
        <v>17</v>
      </c>
      <c r="D65" s="3" t="s">
        <v>99</v>
      </c>
      <c r="E65" s="3"/>
      <c r="F65" s="3"/>
      <c r="G65" s="5"/>
      <c r="H65" s="3">
        <v>367</v>
      </c>
      <c r="I65" s="3">
        <v>644</v>
      </c>
      <c r="J65" s="3">
        <v>932</v>
      </c>
      <c r="K65" s="3"/>
      <c r="L65" s="3"/>
      <c r="M65" s="3">
        <f>SUM(I65:L65)</f>
        <v>1576</v>
      </c>
      <c r="N65" s="7"/>
    </row>
    <row r="66" spans="1:14" ht="69" x14ac:dyDescent="0.25">
      <c r="A66" s="3">
        <v>17.157142857142901</v>
      </c>
      <c r="B66" s="6" t="s">
        <v>100</v>
      </c>
      <c r="C66" s="5" t="s">
        <v>17</v>
      </c>
      <c r="D66" s="10" t="s">
        <v>136</v>
      </c>
      <c r="E66" s="3"/>
      <c r="F66" s="3"/>
      <c r="G66" s="5"/>
      <c r="H66" s="3">
        <v>2506</v>
      </c>
      <c r="I66" s="3">
        <v>2944</v>
      </c>
      <c r="J66" s="3">
        <v>3478</v>
      </c>
      <c r="K66" s="3">
        <v>1291</v>
      </c>
      <c r="L66" s="3">
        <v>1314</v>
      </c>
      <c r="M66" s="3">
        <f>SUM(I66:L66)</f>
        <v>9027</v>
      </c>
      <c r="N66" s="7"/>
    </row>
    <row r="67" spans="1:14" ht="51.75" x14ac:dyDescent="0.25">
      <c r="A67" s="3">
        <v>17.757142857142799</v>
      </c>
      <c r="B67" s="6" t="s">
        <v>101</v>
      </c>
      <c r="C67" s="5" t="s">
        <v>17</v>
      </c>
      <c r="D67" s="3" t="s">
        <v>102</v>
      </c>
      <c r="E67" s="3"/>
      <c r="F67" s="3"/>
      <c r="G67" s="5"/>
      <c r="H67" s="3">
        <v>31</v>
      </c>
      <c r="I67" s="3">
        <v>63</v>
      </c>
      <c r="J67" s="3">
        <v>69</v>
      </c>
      <c r="K67" s="3"/>
      <c r="L67" s="3"/>
      <c r="M67" s="3">
        <v>132</v>
      </c>
      <c r="N67" s="7"/>
    </row>
    <row r="68" spans="1:14" ht="51.75" x14ac:dyDescent="0.25">
      <c r="A68" s="3">
        <v>18.3571428571429</v>
      </c>
      <c r="B68" s="6" t="s">
        <v>103</v>
      </c>
      <c r="C68" s="5" t="s">
        <v>17</v>
      </c>
      <c r="D68" s="3" t="s">
        <v>104</v>
      </c>
      <c r="E68" s="3"/>
      <c r="F68" s="3"/>
      <c r="G68" s="5"/>
      <c r="H68" s="3">
        <v>789</v>
      </c>
      <c r="I68" s="3">
        <v>1058</v>
      </c>
      <c r="J68" s="3">
        <v>1226</v>
      </c>
      <c r="K68" s="3">
        <v>391</v>
      </c>
      <c r="L68" s="3">
        <v>357</v>
      </c>
      <c r="M68" s="3">
        <f t="shared" ref="M68:M75" si="3">SUM(I68:L68)</f>
        <v>3032</v>
      </c>
      <c r="N68" s="7"/>
    </row>
    <row r="69" spans="1:14" ht="51.75" x14ac:dyDescent="0.25">
      <c r="A69" s="3">
        <v>18.957142857142799</v>
      </c>
      <c r="B69" s="6" t="s">
        <v>105</v>
      </c>
      <c r="C69" s="5" t="s">
        <v>17</v>
      </c>
      <c r="D69" s="3" t="s">
        <v>106</v>
      </c>
      <c r="E69" s="3">
        <v>6</v>
      </c>
      <c r="F69" s="3"/>
      <c r="G69" s="5"/>
      <c r="H69" s="3">
        <v>6</v>
      </c>
      <c r="I69" s="3">
        <v>6</v>
      </c>
      <c r="J69" s="3">
        <v>7</v>
      </c>
      <c r="K69" s="3">
        <v>2</v>
      </c>
      <c r="L69" s="3">
        <v>2</v>
      </c>
      <c r="M69" s="3">
        <f t="shared" si="3"/>
        <v>17</v>
      </c>
      <c r="N69" s="7"/>
    </row>
    <row r="70" spans="1:14" ht="51.75" x14ac:dyDescent="0.25">
      <c r="A70" s="3">
        <v>19.5571428571428</v>
      </c>
      <c r="B70" s="6" t="s">
        <v>107</v>
      </c>
      <c r="C70" s="5" t="s">
        <v>17</v>
      </c>
      <c r="D70" s="3" t="s">
        <v>108</v>
      </c>
      <c r="E70" s="3">
        <v>1</v>
      </c>
      <c r="F70" s="3"/>
      <c r="G70" s="5"/>
      <c r="H70" s="3">
        <v>1</v>
      </c>
      <c r="I70" s="3">
        <v>1</v>
      </c>
      <c r="J70" s="3">
        <v>5</v>
      </c>
      <c r="K70" s="3"/>
      <c r="L70" s="3"/>
      <c r="M70" s="3">
        <f t="shared" si="3"/>
        <v>6</v>
      </c>
      <c r="N70" s="7"/>
    </row>
    <row r="71" spans="1:14" ht="34.5" x14ac:dyDescent="0.25">
      <c r="A71" s="3">
        <v>20.157142857142901</v>
      </c>
      <c r="B71" s="6" t="s">
        <v>109</v>
      </c>
      <c r="C71" s="5" t="s">
        <v>17</v>
      </c>
      <c r="D71" s="3" t="s">
        <v>106</v>
      </c>
      <c r="E71" s="3"/>
      <c r="F71" s="3">
        <v>2</v>
      </c>
      <c r="G71" s="5"/>
      <c r="H71" s="3">
        <v>2</v>
      </c>
      <c r="I71" s="3">
        <v>2</v>
      </c>
      <c r="J71" s="3">
        <v>3</v>
      </c>
      <c r="K71" s="3"/>
      <c r="L71" s="3">
        <v>3</v>
      </c>
      <c r="M71" s="3">
        <f t="shared" si="3"/>
        <v>8</v>
      </c>
      <c r="N71" s="7"/>
    </row>
    <row r="72" spans="1:14" ht="34.5" x14ac:dyDescent="0.25">
      <c r="A72" s="3">
        <v>20.757142857142899</v>
      </c>
      <c r="B72" s="6" t="s">
        <v>110</v>
      </c>
      <c r="C72" s="5" t="s">
        <v>17</v>
      </c>
      <c r="D72" s="3" t="s">
        <v>111</v>
      </c>
      <c r="E72" s="3">
        <v>4</v>
      </c>
      <c r="F72" s="3"/>
      <c r="G72" s="5"/>
      <c r="H72" s="3">
        <v>4</v>
      </c>
      <c r="I72" s="3">
        <v>8</v>
      </c>
      <c r="J72" s="3">
        <v>7</v>
      </c>
      <c r="K72" s="3">
        <v>1</v>
      </c>
      <c r="L72" s="3">
        <v>2</v>
      </c>
      <c r="M72" s="3">
        <v>18</v>
      </c>
      <c r="N72" s="7"/>
    </row>
    <row r="73" spans="1:14" ht="51.75" x14ac:dyDescent="0.25">
      <c r="A73" s="3">
        <v>21.3571428571429</v>
      </c>
      <c r="B73" s="6" t="s">
        <v>112</v>
      </c>
      <c r="C73" s="5" t="s">
        <v>17</v>
      </c>
      <c r="D73" s="3" t="s">
        <v>106</v>
      </c>
      <c r="E73" s="3"/>
      <c r="F73" s="3"/>
      <c r="G73" s="5"/>
      <c r="H73" s="3">
        <v>25</v>
      </c>
      <c r="I73" s="3">
        <v>43</v>
      </c>
      <c r="J73" s="3">
        <v>42</v>
      </c>
      <c r="K73" s="3"/>
      <c r="L73" s="3"/>
      <c r="M73" s="3">
        <f t="shared" si="3"/>
        <v>85</v>
      </c>
      <c r="N73" s="7"/>
    </row>
    <row r="74" spans="1:14" ht="34.5" x14ac:dyDescent="0.25">
      <c r="A74" s="3">
        <v>21.957142857142799</v>
      </c>
      <c r="B74" s="6" t="s">
        <v>113</v>
      </c>
      <c r="C74" s="5" t="s">
        <v>17</v>
      </c>
      <c r="D74" s="3" t="s">
        <v>114</v>
      </c>
      <c r="E74" s="3"/>
      <c r="F74" s="3"/>
      <c r="G74" s="5"/>
      <c r="H74" s="3">
        <v>230</v>
      </c>
      <c r="I74" s="3">
        <v>235</v>
      </c>
      <c r="J74" s="3">
        <v>334</v>
      </c>
      <c r="K74" s="3">
        <v>177</v>
      </c>
      <c r="L74" s="3">
        <v>204</v>
      </c>
      <c r="M74" s="3">
        <f t="shared" si="3"/>
        <v>950</v>
      </c>
      <c r="N74" s="7"/>
    </row>
    <row r="75" spans="1:14" ht="34.5" x14ac:dyDescent="0.25">
      <c r="A75" s="3">
        <v>22.5571428571428</v>
      </c>
      <c r="B75" s="6" t="s">
        <v>115</v>
      </c>
      <c r="C75" s="5" t="s">
        <v>17</v>
      </c>
      <c r="D75" s="3" t="s">
        <v>116</v>
      </c>
      <c r="E75" s="3"/>
      <c r="F75" s="3"/>
      <c r="G75" s="5"/>
      <c r="H75" s="3">
        <v>668</v>
      </c>
      <c r="I75" s="3">
        <v>727</v>
      </c>
      <c r="J75" s="3">
        <v>1213</v>
      </c>
      <c r="K75" s="3">
        <v>352</v>
      </c>
      <c r="L75" s="3">
        <v>531</v>
      </c>
      <c r="M75" s="3">
        <f t="shared" si="3"/>
        <v>2823</v>
      </c>
      <c r="N75" s="7"/>
    </row>
    <row r="76" spans="1:14" ht="69" x14ac:dyDescent="0.25">
      <c r="A76" s="3">
        <v>23.157142857142901</v>
      </c>
      <c r="B76" s="6" t="s">
        <v>117</v>
      </c>
      <c r="C76" s="5" t="s">
        <v>17</v>
      </c>
      <c r="D76" s="10" t="s">
        <v>137</v>
      </c>
      <c r="E76" s="3">
        <v>289</v>
      </c>
      <c r="F76" s="3">
        <v>331</v>
      </c>
      <c r="G76" s="5"/>
      <c r="H76" s="3">
        <v>13536</v>
      </c>
      <c r="I76" s="3"/>
      <c r="J76" s="3"/>
      <c r="K76" s="3"/>
      <c r="L76" s="3"/>
      <c r="M76" s="3">
        <v>55357</v>
      </c>
      <c r="N76" s="7"/>
    </row>
    <row r="77" spans="1:14" ht="51.75" x14ac:dyDescent="0.25">
      <c r="A77" s="3">
        <v>23.757142857142899</v>
      </c>
      <c r="B77" s="6" t="s">
        <v>118</v>
      </c>
      <c r="C77" s="5" t="s">
        <v>17</v>
      </c>
      <c r="D77" s="10" t="s">
        <v>138</v>
      </c>
      <c r="E77" s="3">
        <v>83</v>
      </c>
      <c r="F77" s="3"/>
      <c r="G77" s="5"/>
      <c r="H77" s="3">
        <v>1891</v>
      </c>
      <c r="I77" s="3"/>
      <c r="J77" s="3"/>
      <c r="K77" s="3"/>
      <c r="L77" s="3"/>
      <c r="M77" s="3">
        <v>6309</v>
      </c>
      <c r="N77" s="7"/>
    </row>
    <row r="78" spans="1:14" ht="34.5" x14ac:dyDescent="0.25">
      <c r="A78" s="3">
        <v>24.3571428571429</v>
      </c>
      <c r="B78" s="6" t="s">
        <v>119</v>
      </c>
      <c r="C78" s="5" t="s">
        <v>17</v>
      </c>
      <c r="D78" s="3" t="s">
        <v>106</v>
      </c>
      <c r="E78" s="3">
        <v>28</v>
      </c>
      <c r="F78" s="3">
        <v>5</v>
      </c>
      <c r="G78" s="5"/>
      <c r="H78" s="3">
        <v>1296</v>
      </c>
      <c r="I78" s="3"/>
      <c r="J78" s="3"/>
      <c r="K78" s="3"/>
      <c r="L78" s="3"/>
      <c r="M78" s="3">
        <v>4968</v>
      </c>
      <c r="N78" s="7"/>
    </row>
    <row r="79" spans="1:14" ht="34.5" x14ac:dyDescent="0.25">
      <c r="A79" s="3">
        <v>24.957142857142799</v>
      </c>
      <c r="B79" s="6" t="s">
        <v>120</v>
      </c>
      <c r="C79" s="5" t="s">
        <v>17</v>
      </c>
      <c r="D79" s="3" t="s">
        <v>121</v>
      </c>
      <c r="E79" s="3"/>
      <c r="F79" s="3"/>
      <c r="G79" s="5"/>
      <c r="H79" s="3">
        <v>151</v>
      </c>
      <c r="I79" s="3"/>
      <c r="J79" s="3"/>
      <c r="K79" s="3"/>
      <c r="L79" s="3"/>
      <c r="M79" s="3">
        <v>469</v>
      </c>
      <c r="N79" s="7"/>
    </row>
    <row r="80" spans="1:14" ht="51.75" x14ac:dyDescent="0.25">
      <c r="A80" s="3">
        <v>25.5571428571428</v>
      </c>
      <c r="B80" s="6" t="s">
        <v>122</v>
      </c>
      <c r="C80" s="5" t="s">
        <v>17</v>
      </c>
      <c r="D80" s="3" t="s">
        <v>116</v>
      </c>
      <c r="E80" s="3">
        <v>1</v>
      </c>
      <c r="F80" s="3"/>
      <c r="G80" s="5"/>
      <c r="H80" s="3">
        <v>1</v>
      </c>
      <c r="I80" s="3"/>
      <c r="J80" s="3"/>
      <c r="K80" s="3"/>
      <c r="L80" s="3"/>
      <c r="M80" s="3"/>
      <c r="N80" s="7"/>
    </row>
    <row r="81" spans="1:15" ht="34.5" x14ac:dyDescent="0.25">
      <c r="A81" s="3">
        <v>26.157142857142901</v>
      </c>
      <c r="B81" s="6" t="s">
        <v>123</v>
      </c>
      <c r="C81" s="5" t="s">
        <v>17</v>
      </c>
      <c r="D81" s="3" t="s">
        <v>124</v>
      </c>
      <c r="E81" s="3"/>
      <c r="F81" s="3"/>
      <c r="G81" s="5"/>
      <c r="H81" s="3">
        <v>1097</v>
      </c>
      <c r="I81" s="3">
        <v>1525</v>
      </c>
      <c r="J81" s="3">
        <v>2290</v>
      </c>
      <c r="K81" s="3"/>
      <c r="L81" s="3"/>
      <c r="M81" s="3">
        <f>SUM(I81:L81)</f>
        <v>3815</v>
      </c>
      <c r="N81" s="7"/>
    </row>
    <row r="82" spans="1:15" ht="69" x14ac:dyDescent="0.25">
      <c r="A82" s="3">
        <v>26.757142857142899</v>
      </c>
      <c r="B82" s="6" t="s">
        <v>125</v>
      </c>
      <c r="C82" s="5" t="s">
        <v>17</v>
      </c>
      <c r="D82" s="10" t="s">
        <v>137</v>
      </c>
      <c r="E82" s="3">
        <v>195</v>
      </c>
      <c r="F82" s="3">
        <v>286</v>
      </c>
      <c r="G82" s="5"/>
      <c r="H82" s="3"/>
      <c r="I82" s="3"/>
      <c r="J82" s="3"/>
      <c r="K82" s="3"/>
      <c r="L82" s="3"/>
      <c r="M82" s="3"/>
      <c r="N82" s="7"/>
    </row>
    <row r="83" spans="1:15" ht="51.75" x14ac:dyDescent="0.25">
      <c r="A83" s="3">
        <v>28</v>
      </c>
      <c r="B83" s="6" t="s">
        <v>126</v>
      </c>
      <c r="C83" s="5" t="s">
        <v>17</v>
      </c>
      <c r="D83" s="3" t="s">
        <v>106</v>
      </c>
      <c r="E83" s="3"/>
      <c r="F83" s="3">
        <v>2</v>
      </c>
      <c r="G83" s="5"/>
      <c r="H83" s="3">
        <v>2</v>
      </c>
      <c r="I83" s="3">
        <v>2</v>
      </c>
      <c r="J83" s="3">
        <v>6</v>
      </c>
      <c r="K83" s="3"/>
      <c r="L83" s="3"/>
      <c r="M83" s="3">
        <f>SUM(I83:L83)</f>
        <v>8</v>
      </c>
      <c r="N83" s="7"/>
    </row>
    <row r="84" spans="1:15" ht="17.25" x14ac:dyDescent="0.25">
      <c r="A84" s="9"/>
      <c r="B84" s="4" t="s">
        <v>31</v>
      </c>
      <c r="C84" s="4">
        <v>27</v>
      </c>
      <c r="D84" s="4"/>
      <c r="E84" s="4">
        <f>SUM(E43:E83)</f>
        <v>665</v>
      </c>
      <c r="F84" s="4">
        <f t="shared" ref="F84:L84" si="4">SUM(F43:F83)</f>
        <v>636</v>
      </c>
      <c r="G84" s="4">
        <f t="shared" si="4"/>
        <v>0</v>
      </c>
      <c r="H84" s="4">
        <f>SUM(H43:H83)</f>
        <v>36711</v>
      </c>
      <c r="I84" s="9">
        <f t="shared" si="4"/>
        <v>32924</v>
      </c>
      <c r="J84" s="4">
        <f t="shared" si="4"/>
        <v>39576</v>
      </c>
      <c r="K84" s="4">
        <f t="shared" si="4"/>
        <v>2829</v>
      </c>
      <c r="L84" s="4">
        <f t="shared" si="4"/>
        <v>3075</v>
      </c>
      <c r="M84" s="4">
        <v>145507</v>
      </c>
      <c r="N84" s="7"/>
    </row>
    <row r="85" spans="1:15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spans="1:15" ht="51.75" x14ac:dyDescent="0.25">
      <c r="A86" s="3">
        <v>1</v>
      </c>
      <c r="B86" s="6" t="s">
        <v>139</v>
      </c>
      <c r="C86" s="6" t="s">
        <v>140</v>
      </c>
      <c r="D86" s="6" t="s">
        <v>141</v>
      </c>
      <c r="E86" s="3">
        <v>2</v>
      </c>
      <c r="F86" s="3"/>
      <c r="G86" s="3"/>
      <c r="H86" s="3">
        <v>2</v>
      </c>
      <c r="I86" s="3">
        <v>2</v>
      </c>
      <c r="J86" s="3">
        <v>3</v>
      </c>
      <c r="K86" s="3"/>
      <c r="L86" s="3">
        <v>1</v>
      </c>
      <c r="M86" s="3">
        <f>SUM(I86:L86)</f>
        <v>6</v>
      </c>
      <c r="N86" s="7"/>
      <c r="O86" s="17">
        <v>2025</v>
      </c>
    </row>
    <row r="87" spans="1:15" ht="69" x14ac:dyDescent="0.25">
      <c r="A87" s="3">
        <v>2</v>
      </c>
      <c r="B87" s="6" t="s">
        <v>142</v>
      </c>
      <c r="C87" s="6" t="s">
        <v>140</v>
      </c>
      <c r="D87" s="6" t="s">
        <v>143</v>
      </c>
      <c r="E87" s="3">
        <v>32</v>
      </c>
      <c r="F87" s="3"/>
      <c r="G87" s="3"/>
      <c r="H87" s="3">
        <v>34</v>
      </c>
      <c r="I87" s="3">
        <v>33</v>
      </c>
      <c r="J87" s="3">
        <v>33</v>
      </c>
      <c r="K87" s="3">
        <v>27</v>
      </c>
      <c r="L87" s="3">
        <v>32</v>
      </c>
      <c r="M87" s="3">
        <f>SUM(I87:L87)</f>
        <v>125</v>
      </c>
      <c r="N87" s="7"/>
    </row>
    <row r="88" spans="1:15" ht="86.25" x14ac:dyDescent="0.25">
      <c r="A88" s="3">
        <v>3</v>
      </c>
      <c r="B88" s="6" t="s">
        <v>144</v>
      </c>
      <c r="C88" s="6" t="s">
        <v>140</v>
      </c>
      <c r="D88" s="6" t="s">
        <v>145</v>
      </c>
      <c r="E88" s="3"/>
      <c r="F88" s="3"/>
      <c r="G88" s="3"/>
      <c r="H88" s="3"/>
      <c r="I88" s="3"/>
      <c r="J88" s="3"/>
      <c r="K88" s="3"/>
      <c r="L88" s="3"/>
      <c r="M88" s="3">
        <f t="shared" ref="M88:M89" si="5">SUM(L88)</f>
        <v>0</v>
      </c>
      <c r="N88" s="7"/>
    </row>
    <row r="89" spans="1:15" ht="69" x14ac:dyDescent="0.25">
      <c r="A89" s="3">
        <v>4</v>
      </c>
      <c r="B89" s="6" t="s">
        <v>146</v>
      </c>
      <c r="C89" s="6" t="s">
        <v>140</v>
      </c>
      <c r="D89" s="6" t="s">
        <v>147</v>
      </c>
      <c r="E89" s="3"/>
      <c r="F89" s="3"/>
      <c r="G89" s="3"/>
      <c r="H89" s="3"/>
      <c r="I89" s="3"/>
      <c r="J89" s="3"/>
      <c r="K89" s="3"/>
      <c r="L89" s="3"/>
      <c r="M89" s="3">
        <f t="shared" si="5"/>
        <v>0</v>
      </c>
      <c r="N89" s="7"/>
    </row>
    <row r="90" spans="1:15" ht="69" x14ac:dyDescent="0.25">
      <c r="A90" s="3">
        <v>5</v>
      </c>
      <c r="B90" s="6" t="s">
        <v>148</v>
      </c>
      <c r="C90" s="6" t="s">
        <v>140</v>
      </c>
      <c r="D90" s="6" t="s">
        <v>145</v>
      </c>
      <c r="E90" s="3"/>
      <c r="F90" s="3"/>
      <c r="G90" s="3"/>
      <c r="H90" s="3">
        <v>2079</v>
      </c>
      <c r="I90" s="3">
        <v>3471</v>
      </c>
      <c r="J90" s="3">
        <v>4281</v>
      </c>
      <c r="K90" s="3"/>
      <c r="L90" s="3"/>
      <c r="M90" s="3">
        <f t="shared" ref="M90:M101" si="6">SUM(I90:L90)</f>
        <v>7752</v>
      </c>
      <c r="N90" s="7"/>
    </row>
    <row r="91" spans="1:15" ht="69" x14ac:dyDescent="0.25">
      <c r="A91" s="3">
        <v>6</v>
      </c>
      <c r="B91" s="6" t="s">
        <v>149</v>
      </c>
      <c r="C91" s="6" t="s">
        <v>140</v>
      </c>
      <c r="D91" s="6" t="s">
        <v>145</v>
      </c>
      <c r="E91" s="3"/>
      <c r="F91" s="3"/>
      <c r="G91" s="3"/>
      <c r="H91" s="3">
        <v>292</v>
      </c>
      <c r="I91" s="3">
        <v>733</v>
      </c>
      <c r="J91" s="3">
        <v>1023</v>
      </c>
      <c r="K91" s="3"/>
      <c r="L91" s="3"/>
      <c r="M91" s="3">
        <f t="shared" si="6"/>
        <v>1756</v>
      </c>
      <c r="N91" s="7"/>
    </row>
    <row r="92" spans="1:15" ht="69" x14ac:dyDescent="0.25">
      <c r="A92" s="3">
        <v>7</v>
      </c>
      <c r="B92" s="6" t="s">
        <v>150</v>
      </c>
      <c r="C92" s="6" t="s">
        <v>140</v>
      </c>
      <c r="D92" s="6" t="s">
        <v>151</v>
      </c>
      <c r="E92" s="3"/>
      <c r="F92" s="3"/>
      <c r="G92" s="3"/>
      <c r="H92" s="3">
        <v>155</v>
      </c>
      <c r="I92" s="3">
        <v>271</v>
      </c>
      <c r="J92" s="3">
        <v>317</v>
      </c>
      <c r="K92" s="3"/>
      <c r="L92" s="3"/>
      <c r="M92" s="3">
        <f t="shared" si="6"/>
        <v>588</v>
      </c>
      <c r="N92" s="7"/>
    </row>
    <row r="93" spans="1:15" ht="69" x14ac:dyDescent="0.25">
      <c r="A93" s="3">
        <v>8</v>
      </c>
      <c r="B93" s="6" t="s">
        <v>152</v>
      </c>
      <c r="C93" s="6" t="s">
        <v>140</v>
      </c>
      <c r="D93" s="6" t="s">
        <v>145</v>
      </c>
      <c r="E93" s="3"/>
      <c r="F93" s="3"/>
      <c r="G93" s="3"/>
      <c r="H93" s="3">
        <v>59</v>
      </c>
      <c r="I93" s="3">
        <v>53</v>
      </c>
      <c r="J93" s="3">
        <v>87</v>
      </c>
      <c r="K93" s="3">
        <v>35</v>
      </c>
      <c r="L93" s="3">
        <v>37</v>
      </c>
      <c r="M93" s="3">
        <f t="shared" si="6"/>
        <v>212</v>
      </c>
      <c r="N93" s="7"/>
    </row>
    <row r="94" spans="1:15" ht="69" x14ac:dyDescent="0.25">
      <c r="A94" s="3">
        <v>9</v>
      </c>
      <c r="B94" s="6" t="s">
        <v>153</v>
      </c>
      <c r="C94" s="6" t="s">
        <v>140</v>
      </c>
      <c r="D94" s="6" t="s">
        <v>154</v>
      </c>
      <c r="E94" s="3"/>
      <c r="F94" s="3"/>
      <c r="G94" s="3"/>
      <c r="H94" s="3">
        <v>97</v>
      </c>
      <c r="I94" s="3">
        <v>45</v>
      </c>
      <c r="J94" s="3">
        <v>102</v>
      </c>
      <c r="K94" s="3">
        <v>57</v>
      </c>
      <c r="L94" s="3">
        <v>104</v>
      </c>
      <c r="M94" s="3">
        <f t="shared" si="6"/>
        <v>308</v>
      </c>
      <c r="N94" s="7"/>
    </row>
    <row r="95" spans="1:15" ht="69" x14ac:dyDescent="0.25">
      <c r="A95" s="3">
        <v>10</v>
      </c>
      <c r="B95" s="6" t="s">
        <v>155</v>
      </c>
      <c r="C95" s="6" t="s">
        <v>140</v>
      </c>
      <c r="D95" s="6" t="s">
        <v>154</v>
      </c>
      <c r="E95" s="3"/>
      <c r="F95" s="3"/>
      <c r="G95" s="3"/>
      <c r="H95" s="3">
        <v>146</v>
      </c>
      <c r="I95" s="3">
        <v>179</v>
      </c>
      <c r="J95" s="3">
        <v>206</v>
      </c>
      <c r="K95" s="3">
        <v>147</v>
      </c>
      <c r="L95" s="3">
        <v>144</v>
      </c>
      <c r="M95" s="3">
        <f t="shared" si="6"/>
        <v>676</v>
      </c>
      <c r="N95" s="7"/>
    </row>
    <row r="96" spans="1:15" ht="69" x14ac:dyDescent="0.25">
      <c r="A96" s="3">
        <v>11</v>
      </c>
      <c r="B96" s="6" t="s">
        <v>156</v>
      </c>
      <c r="C96" s="6" t="s">
        <v>140</v>
      </c>
      <c r="D96" s="6" t="s">
        <v>154</v>
      </c>
      <c r="E96" s="3"/>
      <c r="F96" s="3"/>
      <c r="G96" s="3"/>
      <c r="H96" s="3">
        <v>100</v>
      </c>
      <c r="I96" s="3">
        <v>135</v>
      </c>
      <c r="J96" s="3">
        <v>158</v>
      </c>
      <c r="K96" s="3">
        <v>94</v>
      </c>
      <c r="L96" s="3">
        <v>117</v>
      </c>
      <c r="M96" s="3">
        <f t="shared" si="6"/>
        <v>504</v>
      </c>
      <c r="N96" s="7"/>
    </row>
    <row r="97" spans="1:14" ht="51.75" x14ac:dyDescent="0.25">
      <c r="A97" s="3">
        <v>12</v>
      </c>
      <c r="B97" s="6" t="s">
        <v>157</v>
      </c>
      <c r="C97" s="6" t="s">
        <v>140</v>
      </c>
      <c r="D97" s="6" t="s">
        <v>145</v>
      </c>
      <c r="E97" s="3"/>
      <c r="F97" s="3"/>
      <c r="G97" s="3"/>
      <c r="H97" s="3">
        <v>819</v>
      </c>
      <c r="I97" s="3">
        <v>1996</v>
      </c>
      <c r="J97" s="3">
        <v>3304</v>
      </c>
      <c r="K97" s="3">
        <v>1322</v>
      </c>
      <c r="L97" s="3">
        <v>1293</v>
      </c>
      <c r="M97" s="3">
        <f t="shared" si="6"/>
        <v>7915</v>
      </c>
      <c r="N97" s="7"/>
    </row>
    <row r="98" spans="1:14" ht="51.75" x14ac:dyDescent="0.25">
      <c r="A98" s="3">
        <v>13</v>
      </c>
      <c r="B98" s="6" t="s">
        <v>158</v>
      </c>
      <c r="C98" s="6" t="s">
        <v>140</v>
      </c>
      <c r="D98" s="6" t="s">
        <v>145</v>
      </c>
      <c r="E98" s="3"/>
      <c r="F98" s="3"/>
      <c r="G98" s="3"/>
      <c r="H98" s="3">
        <v>7</v>
      </c>
      <c r="I98" s="3">
        <v>8</v>
      </c>
      <c r="J98" s="3">
        <v>10</v>
      </c>
      <c r="K98" s="3">
        <v>10</v>
      </c>
      <c r="L98" s="3">
        <v>12</v>
      </c>
      <c r="M98" s="3">
        <f t="shared" si="6"/>
        <v>40</v>
      </c>
      <c r="N98" s="7"/>
    </row>
    <row r="99" spans="1:14" ht="51.75" x14ac:dyDescent="0.25">
      <c r="A99" s="3">
        <v>14</v>
      </c>
      <c r="B99" s="6" t="s">
        <v>159</v>
      </c>
      <c r="C99" s="6" t="s">
        <v>140</v>
      </c>
      <c r="D99" s="6" t="s">
        <v>160</v>
      </c>
      <c r="E99" s="3"/>
      <c r="F99" s="3"/>
      <c r="G99" s="3"/>
      <c r="H99" s="3">
        <v>64</v>
      </c>
      <c r="I99" s="3">
        <v>64</v>
      </c>
      <c r="J99" s="3">
        <v>76</v>
      </c>
      <c r="K99" s="3">
        <v>50</v>
      </c>
      <c r="L99" s="3">
        <v>61</v>
      </c>
      <c r="M99" s="3">
        <f t="shared" si="6"/>
        <v>251</v>
      </c>
      <c r="N99" s="7"/>
    </row>
    <row r="100" spans="1:14" ht="69" x14ac:dyDescent="0.25">
      <c r="A100" s="3">
        <v>15</v>
      </c>
      <c r="B100" s="6" t="s">
        <v>161</v>
      </c>
      <c r="C100" s="6" t="s">
        <v>140</v>
      </c>
      <c r="D100" s="6" t="s">
        <v>145</v>
      </c>
      <c r="E100" s="3"/>
      <c r="F100" s="3"/>
      <c r="G100" s="3"/>
      <c r="H100" s="3">
        <v>24</v>
      </c>
      <c r="I100" s="3">
        <v>20</v>
      </c>
      <c r="J100" s="3">
        <v>27</v>
      </c>
      <c r="K100" s="3">
        <v>12</v>
      </c>
      <c r="L100" s="3">
        <v>16</v>
      </c>
      <c r="M100" s="3">
        <f t="shared" si="6"/>
        <v>75</v>
      </c>
      <c r="N100" s="7"/>
    </row>
    <row r="101" spans="1:14" ht="51.75" x14ac:dyDescent="0.25">
      <c r="A101" s="3">
        <v>16</v>
      </c>
      <c r="B101" s="6" t="s">
        <v>162</v>
      </c>
      <c r="C101" s="6" t="s">
        <v>140</v>
      </c>
      <c r="D101" s="6" t="s">
        <v>154</v>
      </c>
      <c r="E101" s="3"/>
      <c r="F101" s="3"/>
      <c r="G101" s="3"/>
      <c r="H101" s="3">
        <v>238</v>
      </c>
      <c r="I101" s="3">
        <v>236</v>
      </c>
      <c r="J101" s="3">
        <v>264</v>
      </c>
      <c r="K101" s="3">
        <v>220</v>
      </c>
      <c r="L101" s="3">
        <v>289</v>
      </c>
      <c r="M101" s="3">
        <f t="shared" si="6"/>
        <v>1009</v>
      </c>
      <c r="N101" s="7"/>
    </row>
    <row r="102" spans="1:14" ht="34.5" x14ac:dyDescent="0.25">
      <c r="A102" s="3">
        <v>17</v>
      </c>
      <c r="B102" s="6" t="s">
        <v>163</v>
      </c>
      <c r="C102" s="6" t="s">
        <v>140</v>
      </c>
      <c r="D102" s="6" t="s">
        <v>164</v>
      </c>
      <c r="E102" s="3"/>
      <c r="F102" s="3">
        <v>1</v>
      </c>
      <c r="G102" s="3"/>
      <c r="H102" s="3">
        <v>1</v>
      </c>
      <c r="I102" s="3"/>
      <c r="J102" s="3">
        <v>1</v>
      </c>
      <c r="K102" s="3"/>
      <c r="L102" s="3">
        <v>1</v>
      </c>
      <c r="M102" s="3">
        <v>2</v>
      </c>
      <c r="N102" s="7"/>
    </row>
    <row r="103" spans="1:14" ht="51.75" x14ac:dyDescent="0.25">
      <c r="A103" s="3">
        <v>18</v>
      </c>
      <c r="B103" s="6" t="s">
        <v>165</v>
      </c>
      <c r="C103" s="6" t="s">
        <v>140</v>
      </c>
      <c r="D103" s="6" t="s">
        <v>166</v>
      </c>
      <c r="E103" s="3"/>
      <c r="F103" s="3"/>
      <c r="G103" s="3"/>
      <c r="H103" s="3">
        <v>22</v>
      </c>
      <c r="I103" s="3">
        <v>22</v>
      </c>
      <c r="J103" s="3">
        <v>26</v>
      </c>
      <c r="K103" s="3">
        <v>13</v>
      </c>
      <c r="L103" s="3">
        <v>11</v>
      </c>
      <c r="M103" s="3">
        <f>SUM(I103:L103)</f>
        <v>72</v>
      </c>
      <c r="N103" s="7"/>
    </row>
    <row r="104" spans="1:14" ht="17.25" x14ac:dyDescent="0.25">
      <c r="A104" s="4"/>
      <c r="B104" s="4" t="s">
        <v>31</v>
      </c>
      <c r="C104" s="4">
        <v>5</v>
      </c>
      <c r="D104" s="4"/>
      <c r="E104" s="4">
        <f>SUM(E86:E103)</f>
        <v>34</v>
      </c>
      <c r="F104" s="4">
        <f t="shared" ref="F104:M104" si="7">SUM(F86:F103)</f>
        <v>1</v>
      </c>
      <c r="G104" s="4"/>
      <c r="H104" s="4">
        <f t="shared" si="7"/>
        <v>4139</v>
      </c>
      <c r="I104" s="4">
        <f t="shared" si="7"/>
        <v>7268</v>
      </c>
      <c r="J104" s="4">
        <f t="shared" si="7"/>
        <v>9918</v>
      </c>
      <c r="K104" s="4">
        <f t="shared" si="7"/>
        <v>1987</v>
      </c>
      <c r="L104" s="4">
        <f t="shared" si="7"/>
        <v>2118</v>
      </c>
      <c r="M104" s="4">
        <f t="shared" si="7"/>
        <v>21291</v>
      </c>
      <c r="N104" s="7"/>
    </row>
    <row r="105" spans="1:14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 spans="1:14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spans="1:14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 spans="1:14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 spans="1:14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 spans="1:14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 spans="1:14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 spans="1:14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 spans="1:14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 spans="1:14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 spans="1:14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spans="1:14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 spans="1:14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 spans="1:14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spans="1:14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 spans="1:14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 spans="1:14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 spans="1:14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 spans="1:14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 spans="1:14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 spans="1:14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 spans="1:14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 spans="1:14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 spans="1:14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 spans="1:14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 spans="1:14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 spans="1:14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 spans="1:14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spans="1:14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spans="1:14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 spans="1:14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 spans="1:14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 spans="1:14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 spans="1:14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</sheetData>
  <mergeCells count="15">
    <mergeCell ref="F4:F5"/>
    <mergeCell ref="G4:G5"/>
    <mergeCell ref="J4:K4"/>
    <mergeCell ref="L4:M4"/>
    <mergeCell ref="N4:N5"/>
    <mergeCell ref="A1:N2"/>
    <mergeCell ref="I3:I5"/>
    <mergeCell ref="H3:H5"/>
    <mergeCell ref="J3:N3"/>
    <mergeCell ref="E4:E5"/>
    <mergeCell ref="A3:A5"/>
    <mergeCell ref="B3:B5"/>
    <mergeCell ref="C3:C5"/>
    <mergeCell ref="D3:D5"/>
    <mergeCell ref="E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2026-10-19T08:42:17Z</dcterms:created>
  <dcterms:modified xsi:type="dcterms:W3CDTF">2026-10-19T09:24:09Z</dcterms:modified>
</cp:coreProperties>
</file>